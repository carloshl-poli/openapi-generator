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áculos" sheetId="1" state="visible" r:id="rId3"/>
    <sheet name="Matriz de Tes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<sst xmlns="http://schemas.openxmlformats.org/spreadsheetml/2006/main" count="538" uniqueCount="345">
  <si>
    <t xml:space="preserve">Oráculos — IgnoreLineParser.parse()</t>
  </si>
  <si>
    <t xml:space="preserve">Precedência das regras: quando mais de uma regra puder se aplicar ao mesmo trecho, prevalece a regra de menor número.</t>
  </si>
  <si>
    <t xml:space="preserve">Notação: ␠ representa visualmente um espaço U+0020. Nos resultados, TOKEN("valor") explicita Token e value do Part.</t>
  </si>
  <si>
    <t xml:space="preserve">ID</t>
  </si>
  <si>
    <t xml:space="preserve">Contrato</t>
  </si>
  <si>
    <t xml:space="preserve">Entrada / Exemplo</t>
  </si>
  <si>
    <t xml:space="preserve">Saída / Oráculo</t>
  </si>
  <si>
    <t xml:space="preserve">Observações</t>
  </si>
  <si>
    <t xml:space="preserve">C0</t>
  </si>
  <si>
    <t xml:space="preserve">Para toda entrada válida, deve ser retornada uma List&lt;Part&gt;.</t>
  </si>
  <si>
    <t xml:space="preserve">entrada válida</t>
  </si>
  <si>
    <t xml:space="preserve">List&lt;Part&gt;</t>
  </si>
  <si>
    <t xml:space="preserve">Entrada válida = entrada para a qual nenhuma regra de C5 determina ParserException. Não exige teste isolado; é verificado transversalmente nos testes das regras.</t>
  </si>
  <si>
    <t xml:space="preserve">C1</t>
  </si>
  <si>
    <t xml:space="preserve">Os Part devem aparecer na mesma ordem relativa dos elementos que representam na linha.</t>
  </si>
  <si>
    <t xml:space="preserve">abc*def</t>
  </si>
  <si>
    <t xml:space="preserve">[TEXT("abc"), MATCH_ANY("*"), TEXT("def")]</t>
  </si>
  <si>
    <t xml:space="preserve">O oráculo verifica a ordem relativa dos elementos reconhecidos; não exige reconstrução byte a byte da string original.</t>
  </si>
  <si>
    <t xml:space="preserve">C2</t>
  </si>
  <si>
    <t xml:space="preserve">Cada elemento reconhecido deve receber o Token correspondente à sua função sintática.</t>
  </si>
  <si>
    <t xml:space="preserve">-</t>
  </si>
  <si>
    <t xml:space="preserve">Abordado pela tabela de regras R01–R14.</t>
  </si>
  <si>
    <t xml:space="preserve">C3</t>
  </si>
  <si>
    <t xml:space="preserve">O value de cada Part deve ser compatível com o Token atribuído e com o conteúdo representado.</t>
  </si>
  <si>
    <t xml:space="preserve">entradas das regras</t>
  </si>
  <si>
    <t xml:space="preserve">Token e value esperados em cada Part</t>
  </si>
  <si>
    <t xml:space="preserve">Verificado junto dos testes das regras; por isso os resultados abaixo explicitam TOKEN("value") quando aplicável.</t>
  </si>
  <si>
    <t xml:space="preserve">C4</t>
  </si>
  <si>
    <t xml:space="preserve">Todo Part produzido deve possuir Token não nulo.</t>
  </si>
  <si>
    <t xml:space="preserve">todo Part.token != null</t>
  </si>
  <si>
    <t xml:space="preserve">Não exige teste isolado; pode ser verificado transversalmente em todo retorno bem-sucedido.</t>
  </si>
  <si>
    <t xml:space="preserve">C5</t>
  </si>
  <si>
    <t xml:space="preserve">Violações sintáticas cuja detecção pertence ao parser devem ser sinalizadas por ParserException.</t>
  </si>
  <si>
    <t xml:space="preserve">Abordado diretamente por R03 e R07.</t>
  </si>
  <si>
    <t xml:space="preserve">Regras que refinam C2/C3/C5</t>
  </si>
  <si>
    <t xml:space="preserve">Regra</t>
  </si>
  <si>
    <t xml:space="preserve">Condição</t>
  </si>
  <si>
    <t xml:space="preserve">Entrada</t>
  </si>
  <si>
    <t xml:space="preserve">Saída Esperada</t>
  </si>
  <si>
    <t xml:space="preserve">R01</t>
  </si>
  <si>
    <t xml:space="preserve">Comentário</t>
  </si>
  <si>
    <t xml:space="preserve"># é o primeiro caractere da linha</t>
  </si>
  <si>
    <t xml:space="preserve">{#comentario, # !*** /}</t>
  </si>
  <si>
    <t xml:space="preserve">{[COMMENT("#comentario")], [COMMENT("# !*** /")]}</t>
  </si>
  <si>
    <t xml:space="preserve">R02</t>
  </si>
  <si>
    <t xml:space="preserve">Hash inicial escapado</t>
  </si>
  <si>
    <t xml:space="preserve">A linha começa com \#</t>
  </si>
  <si>
    <t xml:space="preserve">\##emacs_bak_file##</t>
  </si>
  <si>
    <t xml:space="preserve">[TEXT("##emacs_bak_file##")]</t>
  </si>
  <si>
    <t xml:space="preserve">R03</t>
  </si>
  <si>
    <t xml:space="preserve">Negação sem padrão</t>
  </si>
  <si>
    <t xml:space="preserve">A linha é exatamente !</t>
  </si>
  <si>
    <t xml:space="preserve">!</t>
  </si>
  <si>
    <t xml:space="preserve">ParserException</t>
  </si>
  <si>
    <t xml:space="preserve">R04</t>
  </si>
  <si>
    <t xml:space="preserve">Negação</t>
  </si>
  <si>
    <t xml:space="preserve">! é o primeiro caractere e há conteúdo depois dele</t>
  </si>
  <si>
    <t xml:space="preserve">!file</t>
  </si>
  <si>
    <t xml:space="preserve">[NEGATE("!"), TEXT("file")]</t>
  </si>
  <si>
    <t xml:space="preserve">R05</t>
  </si>
  <si>
    <t xml:space="preserve">Exclamação escapada</t>
  </si>
  <si>
    <t xml:space="preserve">Sequência \!</t>
  </si>
  <si>
    <t xml:space="preserve">\!</t>
  </si>
  <si>
    <t xml:space="preserve">[ESCAPED_EXCLAMATION("\!")]</t>
  </si>
  <si>
    <t xml:space="preserve">R06</t>
  </si>
  <si>
    <t xml:space="preserve">Espaço escapado</t>
  </si>
  <si>
    <t xml:space="preserve">Sequência \␠ (barra invertida seguida de espaço U+0020)</t>
  </si>
  <si>
    <t xml:space="preserve">\␠</t>
  </si>
  <si>
    <t xml:space="preserve">[ESCAPED_SPACE("\␠")]</t>
  </si>
  <si>
    <t xml:space="preserve">R07</t>
  </si>
  <si>
    <t xml:space="preserve">Três ou mais asteriscos consecutivos</t>
  </si>
  <si>
    <t xml:space="preserve">O trecho contém *** e não foi absorvido antes por uma regra de maior prioridade (ex.: COMMENT)</t>
  </si>
  <si>
    <t xml:space="preserve">{***a, ****, ***}</t>
  </si>
  <si>
    <t xml:space="preserve">{ParserException, ParserException, ParserException}</t>
  </si>
  <si>
    <t xml:space="preserve">R08</t>
  </si>
  <si>
    <t xml:space="preserve">Asterisco duplo em contexto reconhecido</t>
  </si>
  <si>
    <t xml:space="preserve">Uma sequência ** que constitua o elemento de wildcard duplo da regra, desde que R07 não se aplique</t>
  </si>
  <si>
    <t xml:space="preserve">dir/**</t>
  </si>
  <si>
    <t xml:space="preserve">[TEXT("dir"), PATH_DELIM("/"), MATCH_ALL("**")]</t>
  </si>
  <si>
    <t xml:space="preserve">R09</t>
  </si>
  <si>
    <t xml:space="preserve">Asterisco simples</t>
  </si>
  <si>
    <t xml:space="preserve">*, desde que não componha **</t>
  </si>
  <si>
    <t xml:space="preserve">dir/*</t>
  </si>
  <si>
    <t xml:space="preserve">[TEXT("dir"), PATH_DELIM("/"), MATCH_ANY("*")]</t>
  </si>
  <si>
    <t xml:space="preserve">R10</t>
  </si>
  <si>
    <t xml:space="preserve">Barra inicial</t>
  </si>
  <si>
    <t xml:space="preserve">/ está na primeira posição da linha</t>
  </si>
  <si>
    <t xml:space="preserve">/dir</t>
  </si>
  <si>
    <t xml:space="preserve">[ROOTED_MARKER("/"), TEXT("dir")]</t>
  </si>
  <si>
    <t xml:space="preserve">R11</t>
  </si>
  <si>
    <t xml:space="preserve">Barra final</t>
  </si>
  <si>
    <t xml:space="preserve">/ está na última posição, desde que uma regra de maior prioridade não tenha prevalecido</t>
  </si>
  <si>
    <t xml:space="preserve">dir/</t>
  </si>
  <si>
    <t xml:space="preserve">[TEXT("dir"), DIRECTORY_MARKER("/")]</t>
  </si>
  <si>
    <t xml:space="preserve">R12</t>
  </si>
  <si>
    <t xml:space="preserve">Barra interna</t>
  </si>
  <si>
    <t xml:space="preserve">/ não está na posição inicial nem final</t>
  </si>
  <si>
    <t xml:space="preserve">dir/file</t>
  </si>
  <si>
    <t xml:space="preserve">[TEXT("dir"), PATH_DELIM("/"), TEXT("file")]</t>
  </si>
  <si>
    <t xml:space="preserve">R13</t>
  </si>
  <si>
    <t xml:space="preserve">Espaço final não escapado</t>
  </si>
  <si>
    <t xml:space="preserve">Espaço(s) comum(ns) está(ão) no final da definição</t>
  </si>
  <si>
    <t xml:space="preserve">file␠␠</t>
  </si>
  <si>
    <t xml:space="preserve">[TEXT("file")]</t>
  </si>
  <si>
    <t xml:space="preserve">R14</t>
  </si>
  <si>
    <t xml:space="preserve">Texto comum</t>
  </si>
  <si>
    <t xml:space="preserve">Trecho não capturado pelas regras anteriores</t>
  </si>
  <si>
    <t xml:space="preserve">file</t>
  </si>
  <si>
    <t xml:space="preserve">Observações de escopo</t>
  </si>
  <si>
    <t xml:space="preserve">Caso</t>
  </si>
  <si>
    <t xml:space="preserve">Tratamento no oráculo</t>
  </si>
  <si>
    <t xml:space="preserve">R15 (barra invertida genérica)</t>
  </si>
  <si>
    <t xml:space="preserve">Removida como regra normativa independente. Fora das sequências explicitamente reconhecidas, não foi definido um contrato geral de escape.</t>
  </si>
  <si>
    <t xml:space="preserve">/ isolado</t>
  </si>
  <si>
    <t xml:space="preserve">R10 tem precedência sobre R11 para a tokenização, mas não se assume aqui uma semântica externa adicional para esse padrão degenerado.</t>
  </si>
  <si>
    <t xml:space="preserve">Barras consecutivas</t>
  </si>
  <si>
    <t xml:space="preserve">Não foi criado contrato geral de normalização para //, /// ou foo//.</t>
  </si>
  <si>
    <t xml:space="preserve">Matriz de casos de teste — IgnoreLineParser.parse()</t>
  </si>
  <si>
    <t xml:space="preserve">Os casos normativos abaixo derivam de C0–C5 e R01–R14. R08 foi restringida a contextos de ** considerados inequívocos.</t>
  </si>
  <si>
    <t xml:space="preserve">abc** e a**b permanecem exploratórios e NÃO fazem parte da suíte normativa; divergência nesses casos não implica automaticamente defeito.</t>
  </si>
  <si>
    <t xml:space="preserve">Notação: ␠ = espaço U+0020. Todo retorno bem-sucedido também verifica C0 e C4; a comparação integral da lista cobre ordem, Token e value.</t>
  </si>
  <si>
    <t xml:space="preserve">Resumo</t>
  </si>
  <si>
    <t xml:space="preserve">Quantidade</t>
  </si>
  <si>
    <t xml:space="preserve">Execução</t>
  </si>
  <si>
    <t xml:space="preserve">Registro da primeira execução da suíte JUnit: 33 casos executados. As cinco divergências foram mantidas como FAIL sem alterar os oráculos. T18/T32 formam uma família de incidente relacionada à rejeição de *** no fim da entrada; T29/T30/T31 formam outra família relacionada à ordem dos tokens de escape.</t>
  </si>
  <si>
    <t xml:space="preserve">Total de casos</t>
  </si>
  <si>
    <t xml:space="preserve">PASS</t>
  </si>
  <si>
    <t xml:space="preserve">Diretos do oráculo</t>
  </si>
  <si>
    <t xml:space="preserve">FAIL</t>
  </si>
  <si>
    <t xml:space="preserve">Adicionados / fronteiras</t>
  </si>
  <si>
    <t xml:space="preserve">Total executado</t>
  </si>
  <si>
    <t xml:space="preserve">Casos com ParserException</t>
  </si>
  <si>
    <t xml:space="preserve">Famílias de defeito</t>
  </si>
  <si>
    <t xml:space="preserve">Entrada (notação)</t>
  </si>
  <si>
    <t xml:space="preserve">Literal Java sugerido</t>
  </si>
  <si>
    <t xml:space="preserve">Contratos / regras</t>
  </si>
  <si>
    <t xml:space="preserve">Objetivo</t>
  </si>
  <si>
    <t xml:space="preserve">Resultado esperado</t>
  </si>
  <si>
    <t xml:space="preserve">Categoria</t>
  </si>
  <si>
    <t xml:space="preserve">Origem</t>
  </si>
  <si>
    <t xml:space="preserve">Justificativa / observação</t>
  </si>
  <si>
    <t xml:space="preserve">Status após execução</t>
  </si>
  <si>
    <t xml:space="preserve">Resultado observado</t>
  </si>
  <si>
    <t xml:space="preserve">Família / incidente</t>
  </si>
  <si>
    <t xml:space="preserve">T01</t>
  </si>
  <si>
    <t xml:space="preserve">ε (string vazia)</t>
  </si>
  <si>
    <t xml:space="preserve">""</t>
  </si>
  <si>
    <t xml:space="preserve">Fronteira inferior da entrada</t>
  </si>
  <si>
    <t xml:space="preserve">[]</t>
  </si>
  <si>
    <t xml:space="preserve">Fronteira</t>
  </si>
  <si>
    <t xml:space="preserve">Adicionado</t>
  </si>
  <si>
    <t xml:space="preserve">Explicita a fronteira sem iteração.</t>
  </si>
  <si>
    <t xml:space="preserve">Conforme resultado esperado.</t>
  </si>
  <si>
    <t xml:space="preserve">—</t>
  </si>
  <si>
    <t xml:space="preserve">T02</t>
  </si>
  <si>
    <t xml:space="preserve">"file"</t>
  </si>
  <si>
    <t xml:space="preserve">R14; C0; C2; C3; C4</t>
  </si>
  <si>
    <t xml:space="preserve">Tokenização de texto comum</t>
  </si>
  <si>
    <t xml:space="preserve">Normal</t>
  </si>
  <si>
    <t xml:space="preserve">Direto do oráculo</t>
  </si>
  <si>
    <t xml:space="preserve">T03</t>
  </si>
  <si>
    <t xml:space="preserve">"abc*def"</t>
  </si>
  <si>
    <t xml:space="preserve">C1; R09; C2; C3; C4</t>
  </si>
  <si>
    <t xml:space="preserve">Preservar a ordem relativa entre texto, metacaractere e texto</t>
  </si>
  <si>
    <t xml:space="preserve">Ordem</t>
  </si>
  <si>
    <t xml:space="preserve">Caso principal de C1; não exige reconstrução byte a byte da entrada.</t>
  </si>
  <si>
    <t xml:space="preserve">T04</t>
  </si>
  <si>
    <t xml:space="preserve">#comentario</t>
  </si>
  <si>
    <t xml:space="preserve">"#comentario"</t>
  </si>
  <si>
    <t xml:space="preserve">R01; C2; C3; C4</t>
  </si>
  <si>
    <t xml:space="preserve">Reconhecer comentário iniciado na posição zero</t>
  </si>
  <si>
    <t xml:space="preserve">[COMMENT("#comentario")]</t>
  </si>
  <si>
    <t xml:space="preserve">T05</t>
  </si>
  <si>
    <t xml:space="preserve"># !*** /</t>
  </si>
  <si>
    <t xml:space="preserve">"# !*** /"</t>
  </si>
  <si>
    <t xml:space="preserve">Verificar precedência de COMMENT sobre !, ***, * e /</t>
  </si>
  <si>
    <t xml:space="preserve">[COMMENT("# !*** /")]</t>
  </si>
  <si>
    <t xml:space="preserve">Precedência</t>
  </si>
  <si>
    <t xml:space="preserve">O restante da linha não deve ser reinterpretado depois de COMMENT.</t>
  </si>
  <si>
    <t xml:space="preserve">T06</t>
  </si>
  <si>
    <t xml:space="preserve">\#foo</t>
  </si>
  <si>
    <t xml:space="preserve">"\\#foo"</t>
  </si>
  <si>
    <t xml:space="preserve">R02; C2; C3; C4</t>
  </si>
  <si>
    <t xml:space="preserve">Isolar o tratamento do hash inicial escapado</t>
  </si>
  <si>
    <t xml:space="preserve">[TEXT("#foo")]</t>
  </si>
  <si>
    <t xml:space="preserve">Escape</t>
  </si>
  <si>
    <t xml:space="preserve">Caso mínimo para R02.</t>
  </si>
  <si>
    <t xml:space="preserve">T07</t>
  </si>
  <si>
    <t xml:space="preserve">"\\##emacs_bak_file##"</t>
  </si>
  <si>
    <t xml:space="preserve">Aplicar o hash inicial escapado a um nome que contém outros #</t>
  </si>
  <si>
    <t xml:space="preserve">Mantém o exemplo prático que motivou a regra.</t>
  </si>
  <si>
    <t xml:space="preserve">T08</t>
  </si>
  <si>
    <t xml:space="preserve">a#b</t>
  </si>
  <si>
    <t xml:space="preserve">"a#b"</t>
  </si>
  <si>
    <t xml:space="preserve">R14; fronteira de R01; C2; C3; C4</t>
  </si>
  <si>
    <t xml:space="preserve">Distinguir # inicial de # interno</t>
  </si>
  <si>
    <t xml:space="preserve">[TEXT("a#b")]</t>
  </si>
  <si>
    <t xml:space="preserve">Impede generalizar COMMENT para # em qualquer posição.</t>
  </si>
  <si>
    <t xml:space="preserve">T09</t>
  </si>
  <si>
    <t xml:space="preserve">"!"</t>
  </si>
  <si>
    <t xml:space="preserve">R03; C5</t>
  </si>
  <si>
    <t xml:space="preserve">Rejeitar negação sem padrão</t>
  </si>
  <si>
    <t xml:space="preserve">Inválido</t>
  </si>
  <si>
    <t xml:space="preserve">T10</t>
  </si>
  <si>
    <t xml:space="preserve">"!file"</t>
  </si>
  <si>
    <t xml:space="preserve">R04; C2; C3; C4</t>
  </si>
  <si>
    <t xml:space="preserve">Reconhecer negação na posição inicial</t>
  </si>
  <si>
    <t xml:space="preserve">T11</t>
  </si>
  <si>
    <t xml:space="preserve">a!b</t>
  </si>
  <si>
    <t xml:space="preserve">"a!b"</t>
  </si>
  <si>
    <t xml:space="preserve">R14; fronteira de R04; C2; C3; C4</t>
  </si>
  <si>
    <t xml:space="preserve">Distinguir ! inicial de ! interno</t>
  </si>
  <si>
    <t xml:space="preserve">[TEXT("a!b")]</t>
  </si>
  <si>
    <t xml:space="preserve">Impede aplicar NEGATE fora da posição zero.</t>
  </si>
  <si>
    <t xml:space="preserve">T12</t>
  </si>
  <si>
    <t xml:space="preserve">"\\!"</t>
  </si>
  <si>
    <t xml:space="preserve">R05; C2; C3; C4</t>
  </si>
  <si>
    <t xml:space="preserve">Reconhecer exclamação escapada isolada</t>
  </si>
  <si>
    <t xml:space="preserve">T13</t>
  </si>
  <si>
    <t xml:space="preserve">\!foo</t>
  </si>
  <si>
    <t xml:space="preserve">"\\!foo"</t>
  </si>
  <si>
    <t xml:space="preserve">R05; C1; C2; C3; C4</t>
  </si>
  <si>
    <t xml:space="preserve">Continuar a análise após a exclamação escapada</t>
  </si>
  <si>
    <t xml:space="preserve">[ESCAPED_EXCLAMATION("\!"), TEXT("foo")]</t>
  </si>
  <si>
    <t xml:space="preserve">Escape / ordem</t>
  </si>
  <si>
    <t xml:space="preserve">R05 isolada não prova que conteúdo posterior permanece na posição correta.</t>
  </si>
  <si>
    <t xml:space="preserve">T14</t>
  </si>
  <si>
    <t xml:space="preserve">"\\ "</t>
  </si>
  <si>
    <t xml:space="preserve">R06; C2; C3; C4</t>
  </si>
  <si>
    <t xml:space="preserve">Reconhecer espaço escapado isolado</t>
  </si>
  <si>
    <t xml:space="preserve">␠ representa um espaço U+0020.</t>
  </si>
  <si>
    <t xml:space="preserve">T15</t>
  </si>
  <si>
    <t xml:space="preserve">\␠foo</t>
  </si>
  <si>
    <t xml:space="preserve">"\\ foo"</t>
  </si>
  <si>
    <t xml:space="preserve">R06; C1; C2; C3; C4</t>
  </si>
  <si>
    <t xml:space="preserve">Continuar a análise após espaço escapado</t>
  </si>
  <si>
    <t xml:space="preserve">[ESCAPED_SPACE("\␠"), TEXT("foo")]</t>
  </si>
  <si>
    <t xml:space="preserve">Exercita escape seguido de texto.</t>
  </si>
  <si>
    <t xml:space="preserve">T16</t>
  </si>
  <si>
    <t xml:space="preserve">***a</t>
  </si>
  <si>
    <t xml:space="preserve">"***a"</t>
  </si>
  <si>
    <t xml:space="preserve">R07; C5</t>
  </si>
  <si>
    <t xml:space="preserve">Rejeitar *** quando há sufixo</t>
  </si>
  <si>
    <t xml:space="preserve">Controle em que a sequência inválida não termina no último índice.</t>
  </si>
  <si>
    <t xml:space="preserve">T17</t>
  </si>
  <si>
    <t xml:space="preserve">****</t>
  </si>
  <si>
    <t xml:space="preserve">"****"</t>
  </si>
  <si>
    <t xml:space="preserve">Rejeitar quatro asteriscos consecutivos</t>
  </si>
  <si>
    <t xml:space="preserve">Confirma a formulação 'três ou mais'.</t>
  </si>
  <si>
    <t xml:space="preserve">T18</t>
  </si>
  <si>
    <t xml:space="preserve">***</t>
  </si>
  <si>
    <t xml:space="preserve">"***"</t>
  </si>
  <si>
    <t xml:space="preserve">Rejeitar *** no limite exato da string</t>
  </si>
  <si>
    <t xml:space="preserve">Regressão</t>
  </si>
  <si>
    <t xml:space="preserve">Fronteira exata da regra.</t>
  </si>
  <si>
    <t xml:space="preserve">Nenhuma ParserException foi lançada.</t>
  </si>
  <si>
    <t xml:space="preserve">F1 — detecção de *** no fim da entrada</t>
  </si>
  <si>
    <t xml:space="preserve">T19</t>
  </si>
  <si>
    <t xml:space="preserve">a***b</t>
  </si>
  <si>
    <t xml:space="preserve">"a***b"</t>
  </si>
  <si>
    <t xml:space="preserve">Rejeitar *** quando ocorre no meio da linha</t>
  </si>
  <si>
    <t xml:space="preserve">Impede restringir R07 ao início.</t>
  </si>
  <si>
    <t xml:space="preserve">T20</t>
  </si>
  <si>
    <t xml:space="preserve">**</t>
  </si>
  <si>
    <t xml:space="preserve">"**"</t>
  </si>
  <si>
    <t xml:space="preserve">R08; C2; C3; C4</t>
  </si>
  <si>
    <t xml:space="preserve">Isolar MATCH_ALL em contexto inequívoco</t>
  </si>
  <si>
    <t xml:space="preserve">[MATCH_ALL("**")]</t>
  </si>
  <si>
    <t xml:space="preserve">Contexto reconhecido por R08.</t>
  </si>
  <si>
    <t xml:space="preserve">T21</t>
  </si>
  <si>
    <t xml:space="preserve">"dir/**"</t>
  </si>
  <si>
    <t xml:space="preserve">R08; R12; C1; C2; C3; C4</t>
  </si>
  <si>
    <t xml:space="preserve">Reconhecer ** após componente e delimitador</t>
  </si>
  <si>
    <t xml:space="preserve">Normal / ordem</t>
  </si>
  <si>
    <t xml:space="preserve">T22</t>
  </si>
  <si>
    <t xml:space="preserve">*</t>
  </si>
  <si>
    <t xml:space="preserve">"*"</t>
  </si>
  <si>
    <t xml:space="preserve">R09; C2; C3; C4</t>
  </si>
  <si>
    <t xml:space="preserve">Isolar MATCH_ANY</t>
  </si>
  <si>
    <t xml:space="preserve">[MATCH_ANY("*")]</t>
  </si>
  <si>
    <t xml:space="preserve">T23</t>
  </si>
  <si>
    <t xml:space="preserve">"dir/*"</t>
  </si>
  <si>
    <t xml:space="preserve">R09; R12; C1; C2; C3; C4</t>
  </si>
  <si>
    <t xml:space="preserve">Reconhecer * após componente e delimitador</t>
  </si>
  <si>
    <t xml:space="preserve">T24</t>
  </si>
  <si>
    <t xml:space="preserve">"/dir"</t>
  </si>
  <si>
    <t xml:space="preserve">R10; C2; C3; C4</t>
  </si>
  <si>
    <t xml:space="preserve">Reconhecer barra inicial</t>
  </si>
  <si>
    <t xml:space="preserve">Posição</t>
  </si>
  <si>
    <t xml:space="preserve">T25</t>
  </si>
  <si>
    <t xml:space="preserve">"dir/"</t>
  </si>
  <si>
    <t xml:space="preserve">R11; C2; C3; C4</t>
  </si>
  <si>
    <t xml:space="preserve">Reconhecer barra final</t>
  </si>
  <si>
    <t xml:space="preserve">T26</t>
  </si>
  <si>
    <t xml:space="preserve">"dir/file"</t>
  </si>
  <si>
    <t xml:space="preserve">R12; C1; C2; C3; C4</t>
  </si>
  <si>
    <t xml:space="preserve">Reconhecer barra interna</t>
  </si>
  <si>
    <t xml:space="preserve">Posição / ordem</t>
  </si>
  <si>
    <t xml:space="preserve">T27</t>
  </si>
  <si>
    <t xml:space="preserve">"file  "</t>
  </si>
  <si>
    <t xml:space="preserve">R13; C2; C3; C4</t>
  </si>
  <si>
    <t xml:space="preserve">Ignorar espaços finais não escapados</t>
  </si>
  <si>
    <t xml:space="preserve">Os dois espaços finais são U+0020.</t>
  </si>
  <si>
    <t xml:space="preserve">T28</t>
  </si>
  <si>
    <t xml:space="preserve">foo␠bar</t>
  </si>
  <si>
    <t xml:space="preserve">"foo bar"</t>
  </si>
  <si>
    <t xml:space="preserve">R14; fronteira de R13; C2; C3; C4</t>
  </si>
  <si>
    <t xml:space="preserve">Preservar espaço comum quando é interno</t>
  </si>
  <si>
    <t xml:space="preserve">[TEXT("foo bar")]</t>
  </si>
  <si>
    <t xml:space="preserve">Contrasta diretamente com R13.</t>
  </si>
  <si>
    <t xml:space="preserve">T29</t>
  </si>
  <si>
    <t xml:space="preserve">a\!b</t>
  </si>
  <si>
    <t xml:space="preserve">"a\\!b"</t>
  </si>
  <si>
    <t xml:space="preserve">Preservar ordem quando há texto antes e depois de \!</t>
  </si>
  <si>
    <t xml:space="preserve">[TEXT("a"), ESCAPED_EXCLAMATION("\!"), TEXT("b")]</t>
  </si>
  <si>
    <t xml:space="preserve">Fronteira / ordem</t>
  </si>
  <si>
    <t xml:space="preserve">Adicionado (fronteira)</t>
  </si>
  <si>
    <t xml:space="preserve">Exercita buffer anterior + token especial + texto posterior.</t>
  </si>
  <si>
    <t xml:space="preserve">[ESCAPED_EXCLAMATION("\!"), TEXT("ab")]</t>
  </si>
  <si>
    <t xml:space="preserve">F2 — reordenação de tokens de escape</t>
  </si>
  <si>
    <t xml:space="preserve">T30</t>
  </si>
  <si>
    <t xml:space="preserve">foo\␠</t>
  </si>
  <si>
    <t xml:space="preserve">"foo\\ "</t>
  </si>
  <si>
    <t xml:space="preserve">R06; R13; C1; C2; C3; C4</t>
  </si>
  <si>
    <t xml:space="preserve">Distinguir espaço final escapado de espaço final comum e preservar ordem</t>
  </si>
  <si>
    <t xml:space="preserve">[TEXT("foo"), ESCAPED_SPACE("\␠")]</t>
  </si>
  <si>
    <t xml:space="preserve">Contrasta com T27 e exerce texto pendente antes do escape.</t>
  </si>
  <si>
    <t xml:space="preserve">T31</t>
  </si>
  <si>
    <t xml:space="preserve">a\␠b</t>
  </si>
  <si>
    <t xml:space="preserve">"a\\ b"</t>
  </si>
  <si>
    <t xml:space="preserve">Preservar posição de espaço escapado entre dois textos</t>
  </si>
  <si>
    <t xml:space="preserve">[TEXT("a"), ESCAPED_SPACE("\␠"), TEXT("b")]</t>
  </si>
  <si>
    <t xml:space="preserve">Exercita texto anterior e posterior ao token de escape.</t>
  </si>
  <si>
    <t xml:space="preserve">[ESCAPED_SPACE("\␠"), TEXT("ab")]</t>
  </si>
  <si>
    <t xml:space="preserve">T32</t>
  </si>
  <si>
    <t xml:space="preserve">a***</t>
  </si>
  <si>
    <t xml:space="preserve">"a***"</t>
  </si>
  <si>
    <t xml:space="preserve">Rejeitar *** terminando exatamente no fim após um prefixo</t>
  </si>
  <si>
    <t xml:space="preserve">Complementa ***, ***a e a***b variando a posição da sequência.</t>
  </si>
  <si>
    <t xml:space="preserve">T33</t>
  </si>
  <si>
    <t xml:space="preserve">**/foo</t>
  </si>
  <si>
    <t xml:space="preserve">"**/foo"</t>
  </si>
  <si>
    <t xml:space="preserve">Exercitar MATCH_ALL no início seguido de delimitador e texto</t>
  </si>
  <si>
    <t xml:space="preserve">[MATCH_ALL("**"), PATH_DELIM("/"), TEXT("foo")]</t>
  </si>
  <si>
    <t xml:space="preserve">Amplia R08 apenas em um contexto considerado inequívoco.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</si>
</sst>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gnoreLineParserTestMatrix" displayName="IgnoreLineParserTestMatrix" ref="A12:J45" headerRowCount="1" totalsRowCount="0" totalsRowShown="0">
  <tableColumns count="10">
    <tableColumn id="1" name="ID"/>
    <tableColumn id="2" name="Entrada (notação)"/>
    <tableColumn id="3" name="Literal Java sugerido"/>
    <tableColumn id="4" name="Contratos / regras"/>
    <tableColumn id="5" name="Objetivo"/>
    <tableColumn id="6" name="Resultado esperado"/>
    <tableColumn id="7" name="Categoria"/>
    <tableColumn id="8" name="Origem"/>
    <tableColumn id="9" name="Justificativa / observação"/>
    <tableColumn id="10" name="Status após execuçã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39" activeCellId="0" sqref="B3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42"/>
    <col collapsed="false" customWidth="true" hidden="false" outlineLevel="0" max="4" min="4" style="0" width="35"/>
    <col collapsed="false" customWidth="true" hidden="false" outlineLevel="0" max="5" min="5" style="0" width="132.16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</row>
    <row r="3" customFormat="false" ht="34" hidden="false" customHeight="true" outlineLevel="0" collapsed="false">
      <c r="A3" s="2" t="s">
        <v>2</v>
      </c>
      <c r="B3" s="2"/>
      <c r="C3" s="2"/>
      <c r="D3" s="2"/>
      <c r="E3" s="2"/>
    </row>
    <row r="4" customFormat="false" ht="15" hidden="false" customHeight="false" outlineLevel="0" collapsed="false">
      <c r="A4" s="3"/>
      <c r="B4" s="3"/>
      <c r="C4" s="3"/>
      <c r="D4" s="3"/>
      <c r="E4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39.6" hidden="false" customHeight="tru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</row>
    <row r="7" customFormat="false" ht="39.6" hidden="false" customHeight="true" outlineLevel="0" collapsed="false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</row>
    <row r="8" customFormat="false" ht="39.6" hidden="false" customHeight="true" outlineLevel="0" collapsed="false">
      <c r="A8" s="3" t="s">
        <v>18</v>
      </c>
      <c r="B8" s="3" t="s">
        <v>19</v>
      </c>
      <c r="C8" s="3" t="s">
        <v>20</v>
      </c>
      <c r="D8" s="3" t="s">
        <v>20</v>
      </c>
      <c r="E8" s="3" t="s">
        <v>21</v>
      </c>
    </row>
    <row r="9" customFormat="false" ht="39.6" hidden="false" customHeight="true" outlineLevel="0" collapsed="false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</row>
    <row r="10" customFormat="false" ht="26.4" hidden="false" customHeight="true" outlineLevel="0" collapsed="false">
      <c r="A10" s="3" t="s">
        <v>27</v>
      </c>
      <c r="B10" s="3" t="s">
        <v>28</v>
      </c>
      <c r="C10" s="3" t="s">
        <v>10</v>
      </c>
      <c r="D10" s="3" t="s">
        <v>29</v>
      </c>
      <c r="E10" s="3" t="s">
        <v>30</v>
      </c>
    </row>
    <row r="11" customFormat="false" ht="39.6" hidden="false" customHeight="true" outlineLevel="0" collapsed="false">
      <c r="A11" s="3" t="s">
        <v>31</v>
      </c>
      <c r="B11" s="3" t="s">
        <v>32</v>
      </c>
      <c r="C11" s="3" t="s">
        <v>20</v>
      </c>
      <c r="D11" s="3" t="s">
        <v>20</v>
      </c>
      <c r="E11" s="3" t="s">
        <v>33</v>
      </c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5" t="s">
        <v>34</v>
      </c>
      <c r="B13" s="5"/>
      <c r="C13" s="5"/>
      <c r="D13" s="5"/>
      <c r="E13" s="5"/>
    </row>
    <row r="14" customFormat="false" ht="15" hidden="false" customHeight="true" outlineLevel="0" collapsed="false">
      <c r="A14" s="4" t="s">
        <v>3</v>
      </c>
      <c r="B14" s="4" t="s">
        <v>35</v>
      </c>
      <c r="C14" s="4" t="s">
        <v>36</v>
      </c>
      <c r="D14" s="4" t="s">
        <v>37</v>
      </c>
      <c r="E14" s="4" t="s">
        <v>38</v>
      </c>
    </row>
    <row r="15" customFormat="false" ht="15" hidden="false" customHeight="true" outlineLevel="0" collapsed="false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43</v>
      </c>
    </row>
    <row r="16" customFormat="false" ht="15" hidden="false" customHeight="true" outlineLevel="0" collapsed="false">
      <c r="A16" s="3" t="s">
        <v>44</v>
      </c>
      <c r="B16" s="3" t="s">
        <v>45</v>
      </c>
      <c r="C16" s="3" t="s">
        <v>46</v>
      </c>
      <c r="D16" s="3" t="s">
        <v>47</v>
      </c>
      <c r="E16" s="3" t="s">
        <v>48</v>
      </c>
    </row>
    <row r="17" customFormat="false" ht="15" hidden="false" customHeight="true" outlineLevel="0" collapsed="false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53</v>
      </c>
    </row>
    <row r="18" customFormat="false" ht="15" hidden="false" customHeight="true" outlineLevel="0" collapsed="false">
      <c r="A18" s="3" t="s">
        <v>54</v>
      </c>
      <c r="B18" s="3" t="s">
        <v>55</v>
      </c>
      <c r="C18" s="3" t="s">
        <v>56</v>
      </c>
      <c r="D18" s="3" t="s">
        <v>57</v>
      </c>
      <c r="E18" s="3" t="s">
        <v>58</v>
      </c>
    </row>
    <row r="19" customFormat="false" ht="15" hidden="false" customHeight="true" outlineLevel="0" collapsed="false">
      <c r="A19" s="3" t="s">
        <v>59</v>
      </c>
      <c r="B19" s="3" t="s">
        <v>60</v>
      </c>
      <c r="C19" s="3" t="s">
        <v>61</v>
      </c>
      <c r="D19" s="3" t="s">
        <v>62</v>
      </c>
      <c r="E19" s="3" t="s">
        <v>63</v>
      </c>
    </row>
    <row r="20" customFormat="false" ht="26.4" hidden="false" customHeight="true" outlineLevel="0" collapsed="false">
      <c r="A20" s="3" t="s">
        <v>64</v>
      </c>
      <c r="B20" s="3" t="s">
        <v>65</v>
      </c>
      <c r="C20" s="3" t="s">
        <v>66</v>
      </c>
      <c r="D20" s="3" t="s">
        <v>67</v>
      </c>
      <c r="E20" s="3" t="s">
        <v>68</v>
      </c>
    </row>
    <row r="21" customFormat="false" ht="26.4" hidden="false" customHeight="true" outlineLevel="0" collapsed="false">
      <c r="A21" s="3" t="s">
        <v>69</v>
      </c>
      <c r="B21" s="3" t="s">
        <v>70</v>
      </c>
      <c r="C21" s="3" t="s">
        <v>71</v>
      </c>
      <c r="D21" s="3" t="s">
        <v>72</v>
      </c>
      <c r="E21" s="3" t="s">
        <v>73</v>
      </c>
    </row>
    <row r="22" customFormat="false" ht="15" hidden="false" customHeight="true" outlineLevel="0" collapsed="false">
      <c r="A22" s="3" t="s">
        <v>74</v>
      </c>
      <c r="B22" s="3" t="s">
        <v>75</v>
      </c>
      <c r="C22" s="3" t="s">
        <v>76</v>
      </c>
      <c r="D22" s="3" t="s">
        <v>77</v>
      </c>
      <c r="E22" s="3" t="s">
        <v>78</v>
      </c>
    </row>
    <row r="23" customFormat="false" ht="15" hidden="false" customHeight="true" outlineLevel="0" collapsed="false">
      <c r="A23" s="3" t="s">
        <v>79</v>
      </c>
      <c r="B23" s="3" t="s">
        <v>80</v>
      </c>
      <c r="C23" s="3" t="s">
        <v>81</v>
      </c>
      <c r="D23" s="3" t="s">
        <v>82</v>
      </c>
      <c r="E23" s="3" t="s">
        <v>83</v>
      </c>
    </row>
    <row r="24" customFormat="false" ht="15" hidden="false" customHeight="true" outlineLevel="0" collapsed="false">
      <c r="A24" s="3" t="s">
        <v>84</v>
      </c>
      <c r="B24" s="3" t="s">
        <v>85</v>
      </c>
      <c r="C24" s="3" t="s">
        <v>86</v>
      </c>
      <c r="D24" s="3" t="s">
        <v>87</v>
      </c>
      <c r="E24" s="3" t="s">
        <v>88</v>
      </c>
    </row>
    <row r="25" customFormat="false" ht="26.4" hidden="false" customHeight="true" outlineLevel="0" collapsed="false">
      <c r="A25" s="3" t="s">
        <v>89</v>
      </c>
      <c r="B25" s="3" t="s">
        <v>90</v>
      </c>
      <c r="C25" s="3" t="s">
        <v>91</v>
      </c>
      <c r="D25" s="3" t="s">
        <v>92</v>
      </c>
      <c r="E25" s="3" t="s">
        <v>93</v>
      </c>
    </row>
    <row r="26" customFormat="false" ht="15" hidden="false" customHeight="true" outlineLevel="0" collapsed="false">
      <c r="A26" s="3" t="s">
        <v>94</v>
      </c>
      <c r="B26" s="3" t="s">
        <v>95</v>
      </c>
      <c r="C26" s="3" t="s">
        <v>96</v>
      </c>
      <c r="D26" s="3" t="s">
        <v>97</v>
      </c>
      <c r="E26" s="3" t="s">
        <v>98</v>
      </c>
    </row>
    <row r="27" customFormat="false" ht="15" hidden="false" customHeight="true" outlineLevel="0" collapsed="false">
      <c r="A27" s="3" t="s">
        <v>99</v>
      </c>
      <c r="B27" s="3" t="s">
        <v>100</v>
      </c>
      <c r="C27" s="3" t="s">
        <v>101</v>
      </c>
      <c r="D27" s="3" t="s">
        <v>102</v>
      </c>
      <c r="E27" s="3" t="s">
        <v>103</v>
      </c>
    </row>
    <row r="28" customFormat="false" ht="15" hidden="false" customHeight="true" outlineLevel="0" collapsed="false">
      <c r="A28" s="3" t="s">
        <v>104</v>
      </c>
      <c r="B28" s="3" t="s">
        <v>105</v>
      </c>
      <c r="C28" s="3" t="s">
        <v>106</v>
      </c>
      <c r="D28" s="3" t="s">
        <v>107</v>
      </c>
      <c r="E28" s="3" t="s">
        <v>103</v>
      </c>
    </row>
    <row r="29" customFormat="false" ht="15" hidden="false" customHeight="true" outlineLevel="0" collapsed="false">
      <c r="A29" s="3"/>
      <c r="B29" s="3"/>
      <c r="C29" s="3"/>
      <c r="D29" s="3"/>
      <c r="E29" s="3"/>
    </row>
    <row r="30" customFormat="false" ht="15" hidden="false" customHeight="true" outlineLevel="0" collapsed="false">
      <c r="A30" s="5" t="s">
        <v>108</v>
      </c>
      <c r="B30" s="5"/>
      <c r="C30" s="5"/>
      <c r="D30" s="5"/>
      <c r="E30" s="5"/>
    </row>
    <row r="31" customFormat="false" ht="15" hidden="false" customHeight="true" outlineLevel="0" collapsed="false">
      <c r="A31" s="4" t="s">
        <v>109</v>
      </c>
      <c r="B31" s="4" t="s">
        <v>110</v>
      </c>
      <c r="C31" s="4"/>
      <c r="D31" s="4"/>
      <c r="E31" s="4"/>
    </row>
    <row r="32" customFormat="false" ht="52.8" hidden="false" customHeight="true" outlineLevel="0" collapsed="false">
      <c r="A32" s="3" t="s">
        <v>111</v>
      </c>
      <c r="B32" s="3" t="s">
        <v>112</v>
      </c>
      <c r="C32" s="3"/>
      <c r="D32" s="3"/>
      <c r="E32" s="3"/>
    </row>
    <row r="33" customFormat="false" ht="52.8" hidden="false" customHeight="true" outlineLevel="0" collapsed="false">
      <c r="A33" s="3" t="s">
        <v>113</v>
      </c>
      <c r="B33" s="3" t="s">
        <v>114</v>
      </c>
      <c r="C33" s="3"/>
      <c r="D33" s="3"/>
      <c r="E33" s="3"/>
    </row>
    <row r="34" customFormat="false" ht="26.4" hidden="false" customHeight="true" outlineLevel="0" collapsed="false">
      <c r="A34" s="3" t="s">
        <v>115</v>
      </c>
      <c r="B34" s="3" t="s">
        <v>116</v>
      </c>
      <c r="C34" s="3"/>
      <c r="D34" s="3"/>
      <c r="E34" s="3"/>
    </row>
    <row r="35" customFormat="false" ht="92.4" hidden="false" customHeight="true" outlineLevel="0" collapsed="false">
      <c r="A35" s="6"/>
      <c r="B35" s="3"/>
      <c r="C35" s="3"/>
      <c r="D35" s="3"/>
      <c r="E35" s="3"/>
    </row>
  </sheetData>
  <mergeCells count="10">
    <mergeCell ref="A1:E1"/>
    <mergeCell ref="A2:E2"/>
    <mergeCell ref="A3:E3"/>
    <mergeCell ref="A13:E13"/>
    <mergeCell ref="A30:E3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3"/>
    <col collapsed="false" customWidth="true" hidden="false" outlineLevel="0" max="4" min="4" style="0" width="28"/>
    <col collapsed="false" customWidth="true" hidden="false" outlineLevel="0" max="5" min="5" style="0" width="44"/>
    <col collapsed="false" customWidth="true" hidden="false" outlineLevel="0" max="6" min="6" style="0" width="55"/>
    <col collapsed="false" customWidth="true" hidden="false" outlineLevel="0" max="7" min="7" style="0" width="20"/>
    <col collapsed="false" customWidth="true" hidden="false" outlineLevel="0" max="8" min="8" style="0" width="23"/>
    <col collapsed="false" customWidth="true" hidden="false" outlineLevel="0" max="9" min="9" style="0" width="58"/>
    <col collapsed="false" customWidth="true" hidden="false" outlineLevel="0" max="10" min="10" style="0" width="18"/>
    <col collapsed="false" customWidth="true" hidden="false" outlineLevel="0" max="11" min="11" style="0" width="44"/>
    <col collapsed="false" customWidth="true" hidden="false" outlineLevel="0" max="12" min="12" style="0" width="38"/>
  </cols>
  <sheetData>
    <row r="1" customFormat="false" ht="28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4" hidden="false" customHeight="true" outlineLevel="0" collapsed="false">
      <c r="A2" s="7" t="s">
        <v>118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34" hidden="false" customHeight="true" outlineLevel="0" collapsed="false">
      <c r="A3" s="2" t="s">
        <v>119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34" hidden="false" customHeight="true" outlineLevel="0" collapsed="false">
      <c r="A4" s="7" t="s">
        <v>120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A6" s="5" t="s">
        <v>121</v>
      </c>
      <c r="B6" s="5" t="s">
        <v>122</v>
      </c>
      <c r="C6" s="3"/>
      <c r="D6" s="8" t="s">
        <v>123</v>
      </c>
      <c r="E6" s="8" t="s">
        <v>122</v>
      </c>
      <c r="F6" s="3"/>
      <c r="G6" s="9" t="s">
        <v>124</v>
      </c>
      <c r="H6" s="9"/>
      <c r="I6" s="9"/>
      <c r="J6" s="9"/>
      <c r="K6" s="9"/>
      <c r="L6" s="9"/>
    </row>
    <row r="7" customFormat="false" ht="28.35" hidden="false" customHeight="false" outlineLevel="0" collapsed="false">
      <c r="A7" s="3" t="s">
        <v>125</v>
      </c>
      <c r="B7" s="3" t="n">
        <f aca="false">COUNTA(A13:A45)</f>
        <v>33</v>
      </c>
      <c r="C7" s="3"/>
      <c r="D7" s="3" t="s">
        <v>126</v>
      </c>
      <c r="E7" s="3" t="n">
        <f aca="false">COUNTIF(J13:J45,"PASS")</f>
        <v>28</v>
      </c>
      <c r="F7" s="3"/>
      <c r="G7" s="9"/>
      <c r="H7" s="9"/>
      <c r="I7" s="9"/>
      <c r="J7" s="9"/>
      <c r="K7" s="9"/>
      <c r="L7" s="9"/>
    </row>
    <row r="8" customFormat="false" ht="41.75" hidden="false" customHeight="false" outlineLevel="0" collapsed="false">
      <c r="A8" s="3" t="s">
        <v>127</v>
      </c>
      <c r="B8" s="3" t="n">
        <f aca="false">COUNTIF(H13:H45,"Direto do oráculo")</f>
        <v>18</v>
      </c>
      <c r="C8" s="3"/>
      <c r="D8" s="3" t="s">
        <v>128</v>
      </c>
      <c r="E8" s="3" t="n">
        <f aca="false">COUNTIF(J13:J45,"FAIL")</f>
        <v>5</v>
      </c>
      <c r="F8" s="3"/>
      <c r="G8" s="9"/>
      <c r="H8" s="9"/>
      <c r="I8" s="9"/>
      <c r="J8" s="9"/>
      <c r="K8" s="9"/>
      <c r="L8" s="9"/>
    </row>
    <row r="9" customFormat="false" ht="41.75" hidden="false" customHeight="false" outlineLevel="0" collapsed="false">
      <c r="A9" s="3" t="s">
        <v>129</v>
      </c>
      <c r="B9" s="3" t="n">
        <f aca="false">B7-B8</f>
        <v>15</v>
      </c>
      <c r="C9" s="3"/>
      <c r="D9" s="3" t="s">
        <v>130</v>
      </c>
      <c r="E9" s="3" t="n">
        <f aca="false">COUNTA(J13:J45)</f>
        <v>33</v>
      </c>
      <c r="F9" s="3"/>
      <c r="G9" s="9"/>
      <c r="H9" s="9"/>
      <c r="I9" s="9"/>
      <c r="J9" s="9"/>
      <c r="K9" s="9"/>
      <c r="L9" s="9"/>
    </row>
    <row r="10" customFormat="false" ht="55.2" hidden="false" customHeight="false" outlineLevel="0" collapsed="false">
      <c r="A10" s="3" t="s">
        <v>131</v>
      </c>
      <c r="B10" s="3" t="n">
        <f aca="false">COUNTIF(F13:F45,"ParserException")</f>
        <v>6</v>
      </c>
      <c r="C10" s="3"/>
      <c r="D10" s="3" t="s">
        <v>132</v>
      </c>
      <c r="E10" s="3" t="n">
        <v>2</v>
      </c>
      <c r="F10" s="3"/>
      <c r="G10" s="9"/>
      <c r="H10" s="9"/>
      <c r="I10" s="9"/>
      <c r="J10" s="9"/>
      <c r="K10" s="9"/>
      <c r="L10" s="9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4" t="s">
        <v>3</v>
      </c>
      <c r="B12" s="4" t="s">
        <v>133</v>
      </c>
      <c r="C12" s="4" t="s">
        <v>134</v>
      </c>
      <c r="D12" s="4" t="s">
        <v>135</v>
      </c>
      <c r="E12" s="4" t="s">
        <v>136</v>
      </c>
      <c r="F12" s="4" t="s">
        <v>137</v>
      </c>
      <c r="G12" s="4" t="s">
        <v>138</v>
      </c>
      <c r="H12" s="4" t="s">
        <v>139</v>
      </c>
      <c r="I12" s="4" t="s">
        <v>140</v>
      </c>
      <c r="J12" s="4" t="s">
        <v>141</v>
      </c>
      <c r="K12" s="4" t="s">
        <v>142</v>
      </c>
      <c r="L12" s="4" t="s">
        <v>143</v>
      </c>
    </row>
    <row r="13" customFormat="false" ht="15" hidden="false" customHeight="true" outlineLevel="0" collapsed="false">
      <c r="A13" s="3" t="s">
        <v>144</v>
      </c>
      <c r="B13" s="3" t="s">
        <v>145</v>
      </c>
      <c r="C13" s="3" t="s">
        <v>146</v>
      </c>
      <c r="D13" s="3" t="s">
        <v>8</v>
      </c>
      <c r="E13" s="3" t="s">
        <v>147</v>
      </c>
      <c r="F13" s="3" t="s">
        <v>148</v>
      </c>
      <c r="G13" s="3" t="s">
        <v>149</v>
      </c>
      <c r="H13" s="3" t="s">
        <v>150</v>
      </c>
      <c r="I13" s="3" t="s">
        <v>151</v>
      </c>
      <c r="J13" s="3" t="s">
        <v>126</v>
      </c>
      <c r="K13" s="3" t="s">
        <v>152</v>
      </c>
      <c r="L13" s="3" t="s">
        <v>153</v>
      </c>
    </row>
    <row r="14" customFormat="false" ht="15" hidden="false" customHeight="true" outlineLevel="0" collapsed="false">
      <c r="A14" s="3" t="s">
        <v>154</v>
      </c>
      <c r="B14" s="3" t="s">
        <v>107</v>
      </c>
      <c r="C14" s="3" t="s">
        <v>155</v>
      </c>
      <c r="D14" s="3" t="s">
        <v>156</v>
      </c>
      <c r="E14" s="3" t="s">
        <v>157</v>
      </c>
      <c r="F14" s="3" t="s">
        <v>103</v>
      </c>
      <c r="G14" s="3" t="s">
        <v>158</v>
      </c>
      <c r="H14" s="3" t="s">
        <v>159</v>
      </c>
      <c r="I14" s="3"/>
      <c r="J14" s="3" t="s">
        <v>126</v>
      </c>
      <c r="K14" s="3" t="s">
        <v>152</v>
      </c>
      <c r="L14" s="3" t="s">
        <v>153</v>
      </c>
    </row>
    <row r="15" customFormat="false" ht="26.4" hidden="false" customHeight="true" outlineLevel="0" collapsed="false">
      <c r="A15" s="3" t="s">
        <v>160</v>
      </c>
      <c r="B15" s="3" t="s">
        <v>15</v>
      </c>
      <c r="C15" s="3" t="s">
        <v>161</v>
      </c>
      <c r="D15" s="3" t="s">
        <v>162</v>
      </c>
      <c r="E15" s="3" t="s">
        <v>163</v>
      </c>
      <c r="F15" s="3" t="s">
        <v>16</v>
      </c>
      <c r="G15" s="3" t="s">
        <v>164</v>
      </c>
      <c r="H15" s="3" t="s">
        <v>159</v>
      </c>
      <c r="I15" s="3" t="s">
        <v>165</v>
      </c>
      <c r="J15" s="3" t="s">
        <v>126</v>
      </c>
      <c r="K15" s="3" t="s">
        <v>152</v>
      </c>
      <c r="L15" s="3" t="s">
        <v>153</v>
      </c>
    </row>
    <row r="16" customFormat="false" ht="15" hidden="false" customHeight="true" outlineLevel="0" collapsed="false">
      <c r="A16" s="3" t="s">
        <v>166</v>
      </c>
      <c r="B16" s="3" t="s">
        <v>167</v>
      </c>
      <c r="C16" s="3" t="s">
        <v>168</v>
      </c>
      <c r="D16" s="3" t="s">
        <v>169</v>
      </c>
      <c r="E16" s="3" t="s">
        <v>170</v>
      </c>
      <c r="F16" s="3" t="s">
        <v>171</v>
      </c>
      <c r="G16" s="3" t="s">
        <v>158</v>
      </c>
      <c r="H16" s="3" t="s">
        <v>159</v>
      </c>
      <c r="I16" s="3"/>
      <c r="J16" s="3" t="s">
        <v>126</v>
      </c>
      <c r="K16" s="3" t="s">
        <v>152</v>
      </c>
      <c r="L16" s="3" t="s">
        <v>153</v>
      </c>
    </row>
    <row r="17" customFormat="false" ht="15" hidden="false" customHeight="true" outlineLevel="0" collapsed="false">
      <c r="A17" s="3" t="s">
        <v>172</v>
      </c>
      <c r="B17" s="3" t="s">
        <v>173</v>
      </c>
      <c r="C17" s="3" t="s">
        <v>174</v>
      </c>
      <c r="D17" s="3" t="s">
        <v>169</v>
      </c>
      <c r="E17" s="3" t="s">
        <v>175</v>
      </c>
      <c r="F17" s="3" t="s">
        <v>176</v>
      </c>
      <c r="G17" s="3" t="s">
        <v>177</v>
      </c>
      <c r="H17" s="3" t="s">
        <v>159</v>
      </c>
      <c r="I17" s="3" t="s">
        <v>178</v>
      </c>
      <c r="J17" s="3" t="s">
        <v>126</v>
      </c>
      <c r="K17" s="3" t="s">
        <v>152</v>
      </c>
      <c r="L17" s="3" t="s">
        <v>153</v>
      </c>
    </row>
    <row r="18" customFormat="false" ht="15" hidden="false" customHeight="true" outlineLevel="0" collapsed="false">
      <c r="A18" s="3" t="s">
        <v>179</v>
      </c>
      <c r="B18" s="3" t="s">
        <v>180</v>
      </c>
      <c r="C18" s="3" t="s">
        <v>181</v>
      </c>
      <c r="D18" s="3" t="s">
        <v>182</v>
      </c>
      <c r="E18" s="3" t="s">
        <v>183</v>
      </c>
      <c r="F18" s="3" t="s">
        <v>184</v>
      </c>
      <c r="G18" s="3" t="s">
        <v>185</v>
      </c>
      <c r="H18" s="3" t="s">
        <v>150</v>
      </c>
      <c r="I18" s="3" t="s">
        <v>186</v>
      </c>
      <c r="J18" s="3" t="s">
        <v>126</v>
      </c>
      <c r="K18" s="3" t="s">
        <v>152</v>
      </c>
      <c r="L18" s="3" t="s">
        <v>153</v>
      </c>
    </row>
    <row r="19" customFormat="false" ht="26.4" hidden="false" customHeight="true" outlineLevel="0" collapsed="false">
      <c r="A19" s="3" t="s">
        <v>187</v>
      </c>
      <c r="B19" s="3" t="s">
        <v>47</v>
      </c>
      <c r="C19" s="3" t="s">
        <v>188</v>
      </c>
      <c r="D19" s="3" t="s">
        <v>182</v>
      </c>
      <c r="E19" s="3" t="s">
        <v>189</v>
      </c>
      <c r="F19" s="3" t="s">
        <v>48</v>
      </c>
      <c r="G19" s="3" t="s">
        <v>185</v>
      </c>
      <c r="H19" s="3" t="s">
        <v>159</v>
      </c>
      <c r="I19" s="3" t="s">
        <v>190</v>
      </c>
      <c r="J19" s="3" t="s">
        <v>126</v>
      </c>
      <c r="K19" s="3" t="s">
        <v>152</v>
      </c>
      <c r="L19" s="3" t="s">
        <v>153</v>
      </c>
    </row>
    <row r="20" customFormat="false" ht="15" hidden="false" customHeight="true" outlineLevel="0" collapsed="false">
      <c r="A20" s="3" t="s">
        <v>191</v>
      </c>
      <c r="B20" s="3" t="s">
        <v>192</v>
      </c>
      <c r="C20" s="3" t="s">
        <v>193</v>
      </c>
      <c r="D20" s="3" t="s">
        <v>194</v>
      </c>
      <c r="E20" s="3" t="s">
        <v>195</v>
      </c>
      <c r="F20" s="3" t="s">
        <v>196</v>
      </c>
      <c r="G20" s="3" t="s">
        <v>149</v>
      </c>
      <c r="H20" s="3" t="s">
        <v>150</v>
      </c>
      <c r="I20" s="3" t="s">
        <v>197</v>
      </c>
      <c r="J20" s="3" t="s">
        <v>126</v>
      </c>
      <c r="K20" s="3" t="s">
        <v>152</v>
      </c>
      <c r="L20" s="3" t="s">
        <v>153</v>
      </c>
    </row>
    <row r="21" customFormat="false" ht="15" hidden="false" customHeight="true" outlineLevel="0" collapsed="false">
      <c r="A21" s="3" t="s">
        <v>198</v>
      </c>
      <c r="B21" s="3" t="s">
        <v>52</v>
      </c>
      <c r="C21" s="3" t="s">
        <v>199</v>
      </c>
      <c r="D21" s="3" t="s">
        <v>200</v>
      </c>
      <c r="E21" s="3" t="s">
        <v>201</v>
      </c>
      <c r="F21" s="3" t="s">
        <v>53</v>
      </c>
      <c r="G21" s="3" t="s">
        <v>202</v>
      </c>
      <c r="H21" s="3" t="s">
        <v>159</v>
      </c>
      <c r="I21" s="3"/>
      <c r="J21" s="3" t="s">
        <v>126</v>
      </c>
      <c r="K21" s="3" t="s">
        <v>152</v>
      </c>
      <c r="L21" s="3" t="s">
        <v>153</v>
      </c>
    </row>
    <row r="22" customFormat="false" ht="15" hidden="false" customHeight="true" outlineLevel="0" collapsed="false">
      <c r="A22" s="3" t="s">
        <v>203</v>
      </c>
      <c r="B22" s="3" t="s">
        <v>57</v>
      </c>
      <c r="C22" s="3" t="s">
        <v>204</v>
      </c>
      <c r="D22" s="3" t="s">
        <v>205</v>
      </c>
      <c r="E22" s="3" t="s">
        <v>206</v>
      </c>
      <c r="F22" s="3" t="s">
        <v>58</v>
      </c>
      <c r="G22" s="3" t="s">
        <v>158</v>
      </c>
      <c r="H22" s="3" t="s">
        <v>159</v>
      </c>
      <c r="I22" s="3"/>
      <c r="J22" s="3" t="s">
        <v>126</v>
      </c>
      <c r="K22" s="3" t="s">
        <v>152</v>
      </c>
      <c r="L22" s="3" t="s">
        <v>153</v>
      </c>
    </row>
    <row r="23" customFormat="false" ht="15" hidden="false" customHeight="true" outlineLevel="0" collapsed="false">
      <c r="A23" s="3" t="s">
        <v>207</v>
      </c>
      <c r="B23" s="3" t="s">
        <v>208</v>
      </c>
      <c r="C23" s="3" t="s">
        <v>209</v>
      </c>
      <c r="D23" s="3" t="s">
        <v>210</v>
      </c>
      <c r="E23" s="3" t="s">
        <v>211</v>
      </c>
      <c r="F23" s="3" t="s">
        <v>212</v>
      </c>
      <c r="G23" s="3" t="s">
        <v>149</v>
      </c>
      <c r="H23" s="3" t="s">
        <v>150</v>
      </c>
      <c r="I23" s="3" t="s">
        <v>213</v>
      </c>
      <c r="J23" s="3" t="s">
        <v>126</v>
      </c>
      <c r="K23" s="3" t="s">
        <v>152</v>
      </c>
      <c r="L23" s="3" t="s">
        <v>153</v>
      </c>
    </row>
    <row r="24" customFormat="false" ht="15" hidden="false" customHeight="true" outlineLevel="0" collapsed="false">
      <c r="A24" s="3" t="s">
        <v>214</v>
      </c>
      <c r="B24" s="3" t="s">
        <v>62</v>
      </c>
      <c r="C24" s="3" t="s">
        <v>215</v>
      </c>
      <c r="D24" s="3" t="s">
        <v>216</v>
      </c>
      <c r="E24" s="3" t="s">
        <v>217</v>
      </c>
      <c r="F24" s="3" t="s">
        <v>63</v>
      </c>
      <c r="G24" s="3" t="s">
        <v>185</v>
      </c>
      <c r="H24" s="3" t="s">
        <v>159</v>
      </c>
      <c r="I24" s="3"/>
      <c r="J24" s="3" t="s">
        <v>126</v>
      </c>
      <c r="K24" s="3" t="s">
        <v>152</v>
      </c>
      <c r="L24" s="3" t="s">
        <v>153</v>
      </c>
    </row>
    <row r="25" customFormat="false" ht="26.4" hidden="false" customHeight="true" outlineLevel="0" collapsed="false">
      <c r="A25" s="3" t="s">
        <v>218</v>
      </c>
      <c r="B25" s="3" t="s">
        <v>219</v>
      </c>
      <c r="C25" s="3" t="s">
        <v>220</v>
      </c>
      <c r="D25" s="3" t="s">
        <v>221</v>
      </c>
      <c r="E25" s="3" t="s">
        <v>222</v>
      </c>
      <c r="F25" s="3" t="s">
        <v>223</v>
      </c>
      <c r="G25" s="3" t="s">
        <v>224</v>
      </c>
      <c r="H25" s="3" t="s">
        <v>150</v>
      </c>
      <c r="I25" s="3" t="s">
        <v>225</v>
      </c>
      <c r="J25" s="3" t="s">
        <v>126</v>
      </c>
      <c r="K25" s="3" t="s">
        <v>152</v>
      </c>
      <c r="L25" s="3" t="s">
        <v>153</v>
      </c>
    </row>
    <row r="26" customFormat="false" ht="15" hidden="false" customHeight="true" outlineLevel="0" collapsed="false">
      <c r="A26" s="3" t="s">
        <v>226</v>
      </c>
      <c r="B26" s="3" t="s">
        <v>67</v>
      </c>
      <c r="C26" s="3" t="s">
        <v>227</v>
      </c>
      <c r="D26" s="3" t="s">
        <v>228</v>
      </c>
      <c r="E26" s="3" t="s">
        <v>229</v>
      </c>
      <c r="F26" s="3" t="s">
        <v>68</v>
      </c>
      <c r="G26" s="3" t="s">
        <v>185</v>
      </c>
      <c r="H26" s="3" t="s">
        <v>159</v>
      </c>
      <c r="I26" s="3" t="s">
        <v>230</v>
      </c>
      <c r="J26" s="3" t="s">
        <v>126</v>
      </c>
      <c r="K26" s="3" t="s">
        <v>152</v>
      </c>
      <c r="L26" s="3" t="s">
        <v>153</v>
      </c>
    </row>
    <row r="27" customFormat="false" ht="15" hidden="false" customHeight="true" outlineLevel="0" collapsed="false">
      <c r="A27" s="3" t="s">
        <v>231</v>
      </c>
      <c r="B27" s="3" t="s">
        <v>232</v>
      </c>
      <c r="C27" s="3" t="s">
        <v>233</v>
      </c>
      <c r="D27" s="3" t="s">
        <v>234</v>
      </c>
      <c r="E27" s="3" t="s">
        <v>235</v>
      </c>
      <c r="F27" s="3" t="s">
        <v>236</v>
      </c>
      <c r="G27" s="3" t="s">
        <v>224</v>
      </c>
      <c r="H27" s="3" t="s">
        <v>150</v>
      </c>
      <c r="I27" s="3" t="s">
        <v>237</v>
      </c>
      <c r="J27" s="3" t="s">
        <v>126</v>
      </c>
      <c r="K27" s="3" t="s">
        <v>152</v>
      </c>
      <c r="L27" s="3" t="s">
        <v>153</v>
      </c>
    </row>
    <row r="28" customFormat="false" ht="15" hidden="false" customHeight="true" outlineLevel="0" collapsed="false">
      <c r="A28" s="3" t="s">
        <v>238</v>
      </c>
      <c r="B28" s="3" t="s">
        <v>239</v>
      </c>
      <c r="C28" s="3" t="s">
        <v>240</v>
      </c>
      <c r="D28" s="3" t="s">
        <v>241</v>
      </c>
      <c r="E28" s="3" t="s">
        <v>242</v>
      </c>
      <c r="F28" s="3" t="s">
        <v>53</v>
      </c>
      <c r="G28" s="3" t="s">
        <v>202</v>
      </c>
      <c r="H28" s="3" t="s">
        <v>159</v>
      </c>
      <c r="I28" s="3" t="s">
        <v>243</v>
      </c>
      <c r="J28" s="3" t="s">
        <v>126</v>
      </c>
      <c r="K28" s="3" t="s">
        <v>152</v>
      </c>
      <c r="L28" s="3" t="s">
        <v>153</v>
      </c>
    </row>
    <row r="29" customFormat="false" ht="15" hidden="false" customHeight="true" outlineLevel="0" collapsed="false">
      <c r="A29" s="3" t="s">
        <v>244</v>
      </c>
      <c r="B29" s="3" t="s">
        <v>245</v>
      </c>
      <c r="C29" s="3" t="s">
        <v>246</v>
      </c>
      <c r="D29" s="3" t="s">
        <v>241</v>
      </c>
      <c r="E29" s="3" t="s">
        <v>247</v>
      </c>
      <c r="F29" s="3" t="s">
        <v>53</v>
      </c>
      <c r="G29" s="3" t="s">
        <v>202</v>
      </c>
      <c r="H29" s="3" t="s">
        <v>159</v>
      </c>
      <c r="I29" s="3" t="s">
        <v>248</v>
      </c>
      <c r="J29" s="3" t="s">
        <v>126</v>
      </c>
      <c r="K29" s="3" t="s">
        <v>152</v>
      </c>
      <c r="L29" s="3" t="s">
        <v>153</v>
      </c>
    </row>
    <row r="30" customFormat="false" ht="15" hidden="false" customHeight="true" outlineLevel="0" collapsed="false">
      <c r="A30" s="3" t="s">
        <v>249</v>
      </c>
      <c r="B30" s="3" t="s">
        <v>250</v>
      </c>
      <c r="C30" s="3" t="s">
        <v>251</v>
      </c>
      <c r="D30" s="3" t="s">
        <v>241</v>
      </c>
      <c r="E30" s="3" t="s">
        <v>252</v>
      </c>
      <c r="F30" s="3" t="s">
        <v>53</v>
      </c>
      <c r="G30" s="3" t="s">
        <v>253</v>
      </c>
      <c r="H30" s="3" t="s">
        <v>159</v>
      </c>
      <c r="I30" s="3" t="s">
        <v>254</v>
      </c>
      <c r="J30" s="3" t="s">
        <v>128</v>
      </c>
      <c r="K30" s="3" t="s">
        <v>255</v>
      </c>
      <c r="L30" s="3" t="s">
        <v>256</v>
      </c>
    </row>
    <row r="31" customFormat="false" ht="15" hidden="false" customHeight="true" outlineLevel="0" collapsed="false">
      <c r="A31" s="3" t="s">
        <v>257</v>
      </c>
      <c r="B31" s="3" t="s">
        <v>258</v>
      </c>
      <c r="C31" s="3" t="s">
        <v>259</v>
      </c>
      <c r="D31" s="3" t="s">
        <v>241</v>
      </c>
      <c r="E31" s="3" t="s">
        <v>260</v>
      </c>
      <c r="F31" s="3" t="s">
        <v>53</v>
      </c>
      <c r="G31" s="3" t="s">
        <v>149</v>
      </c>
      <c r="H31" s="3" t="s">
        <v>150</v>
      </c>
      <c r="I31" s="3" t="s">
        <v>261</v>
      </c>
      <c r="J31" s="3" t="s">
        <v>126</v>
      </c>
      <c r="K31" s="3" t="s">
        <v>152</v>
      </c>
      <c r="L31" s="3" t="s">
        <v>153</v>
      </c>
    </row>
    <row r="32" customFormat="false" ht="15" hidden="false" customHeight="true" outlineLevel="0" collapsed="false">
      <c r="A32" s="3" t="s">
        <v>262</v>
      </c>
      <c r="B32" s="3" t="s">
        <v>263</v>
      </c>
      <c r="C32" s="3" t="s">
        <v>264</v>
      </c>
      <c r="D32" s="3" t="s">
        <v>265</v>
      </c>
      <c r="E32" s="3" t="s">
        <v>266</v>
      </c>
      <c r="F32" s="3" t="s">
        <v>267</v>
      </c>
      <c r="G32" s="3" t="s">
        <v>158</v>
      </c>
      <c r="H32" s="3" t="s">
        <v>150</v>
      </c>
      <c r="I32" s="3" t="s">
        <v>268</v>
      </c>
      <c r="J32" s="3" t="s">
        <v>126</v>
      </c>
      <c r="K32" s="3" t="s">
        <v>152</v>
      </c>
      <c r="L32" s="3" t="s">
        <v>153</v>
      </c>
    </row>
    <row r="33" customFormat="false" ht="15" hidden="false" customHeight="true" outlineLevel="0" collapsed="false">
      <c r="A33" s="3" t="s">
        <v>269</v>
      </c>
      <c r="B33" s="3" t="s">
        <v>77</v>
      </c>
      <c r="C33" s="3" t="s">
        <v>270</v>
      </c>
      <c r="D33" s="3" t="s">
        <v>271</v>
      </c>
      <c r="E33" s="3" t="s">
        <v>272</v>
      </c>
      <c r="F33" s="3" t="s">
        <v>78</v>
      </c>
      <c r="G33" s="3" t="s">
        <v>273</v>
      </c>
      <c r="H33" s="3" t="s">
        <v>159</v>
      </c>
      <c r="I33" s="3" t="s">
        <v>268</v>
      </c>
      <c r="J33" s="3" t="s">
        <v>126</v>
      </c>
      <c r="K33" s="3" t="s">
        <v>152</v>
      </c>
      <c r="L33" s="3" t="s">
        <v>153</v>
      </c>
    </row>
    <row r="34" customFormat="false" ht="15" hidden="false" customHeight="true" outlineLevel="0" collapsed="false">
      <c r="A34" s="3" t="s">
        <v>274</v>
      </c>
      <c r="B34" s="3" t="s">
        <v>275</v>
      </c>
      <c r="C34" s="3" t="s">
        <v>276</v>
      </c>
      <c r="D34" s="3" t="s">
        <v>277</v>
      </c>
      <c r="E34" s="3" t="s">
        <v>278</v>
      </c>
      <c r="F34" s="3" t="s">
        <v>279</v>
      </c>
      <c r="G34" s="3" t="s">
        <v>158</v>
      </c>
      <c r="H34" s="3" t="s">
        <v>150</v>
      </c>
      <c r="I34" s="3"/>
      <c r="J34" s="3" t="s">
        <v>126</v>
      </c>
      <c r="K34" s="3" t="s">
        <v>152</v>
      </c>
      <c r="L34" s="3" t="s">
        <v>153</v>
      </c>
    </row>
    <row r="35" customFormat="false" ht="15" hidden="false" customHeight="true" outlineLevel="0" collapsed="false">
      <c r="A35" s="3" t="s">
        <v>280</v>
      </c>
      <c r="B35" s="3" t="s">
        <v>82</v>
      </c>
      <c r="C35" s="3" t="s">
        <v>281</v>
      </c>
      <c r="D35" s="3" t="s">
        <v>282</v>
      </c>
      <c r="E35" s="3" t="s">
        <v>283</v>
      </c>
      <c r="F35" s="3" t="s">
        <v>83</v>
      </c>
      <c r="G35" s="3" t="s">
        <v>273</v>
      </c>
      <c r="H35" s="3" t="s">
        <v>159</v>
      </c>
      <c r="I35" s="3"/>
      <c r="J35" s="3" t="s">
        <v>126</v>
      </c>
      <c r="K35" s="3" t="s">
        <v>152</v>
      </c>
      <c r="L35" s="3" t="s">
        <v>153</v>
      </c>
    </row>
    <row r="36" customFormat="false" ht="15" hidden="false" customHeight="true" outlineLevel="0" collapsed="false">
      <c r="A36" s="3" t="s">
        <v>284</v>
      </c>
      <c r="B36" s="3" t="s">
        <v>87</v>
      </c>
      <c r="C36" s="3" t="s">
        <v>285</v>
      </c>
      <c r="D36" s="3" t="s">
        <v>286</v>
      </c>
      <c r="E36" s="3" t="s">
        <v>287</v>
      </c>
      <c r="F36" s="3" t="s">
        <v>88</v>
      </c>
      <c r="G36" s="3" t="s">
        <v>288</v>
      </c>
      <c r="H36" s="3" t="s">
        <v>159</v>
      </c>
      <c r="I36" s="3"/>
      <c r="J36" s="3" t="s">
        <v>126</v>
      </c>
      <c r="K36" s="3" t="s">
        <v>152</v>
      </c>
      <c r="L36" s="3" t="s">
        <v>153</v>
      </c>
    </row>
    <row r="37" customFormat="false" ht="15" hidden="false" customHeight="true" outlineLevel="0" collapsed="false">
      <c r="A37" s="3" t="s">
        <v>289</v>
      </c>
      <c r="B37" s="3" t="s">
        <v>92</v>
      </c>
      <c r="C37" s="3" t="s">
        <v>290</v>
      </c>
      <c r="D37" s="3" t="s">
        <v>291</v>
      </c>
      <c r="E37" s="3" t="s">
        <v>292</v>
      </c>
      <c r="F37" s="3" t="s">
        <v>93</v>
      </c>
      <c r="G37" s="3" t="s">
        <v>288</v>
      </c>
      <c r="H37" s="3" t="s">
        <v>159</v>
      </c>
      <c r="I37" s="3"/>
      <c r="J37" s="3" t="s">
        <v>126</v>
      </c>
      <c r="K37" s="3" t="s">
        <v>152</v>
      </c>
      <c r="L37" s="3" t="s">
        <v>153</v>
      </c>
    </row>
    <row r="38" customFormat="false" ht="15" hidden="false" customHeight="true" outlineLevel="0" collapsed="false">
      <c r="A38" s="3" t="s">
        <v>293</v>
      </c>
      <c r="B38" s="3" t="s">
        <v>97</v>
      </c>
      <c r="C38" s="3" t="s">
        <v>294</v>
      </c>
      <c r="D38" s="3" t="s">
        <v>295</v>
      </c>
      <c r="E38" s="3" t="s">
        <v>296</v>
      </c>
      <c r="F38" s="3" t="s">
        <v>98</v>
      </c>
      <c r="G38" s="3" t="s">
        <v>297</v>
      </c>
      <c r="H38" s="3" t="s">
        <v>159</v>
      </c>
      <c r="I38" s="3"/>
      <c r="J38" s="3" t="s">
        <v>126</v>
      </c>
      <c r="K38" s="3" t="s">
        <v>152</v>
      </c>
      <c r="L38" s="3" t="s">
        <v>153</v>
      </c>
    </row>
    <row r="39" customFormat="false" ht="15" hidden="false" customHeight="true" outlineLevel="0" collapsed="false">
      <c r="A39" s="3" t="s">
        <v>298</v>
      </c>
      <c r="B39" s="3" t="s">
        <v>102</v>
      </c>
      <c r="C39" s="3" t="s">
        <v>299</v>
      </c>
      <c r="D39" s="3" t="s">
        <v>300</v>
      </c>
      <c r="E39" s="3" t="s">
        <v>301</v>
      </c>
      <c r="F39" s="3" t="s">
        <v>103</v>
      </c>
      <c r="G39" s="3" t="s">
        <v>149</v>
      </c>
      <c r="H39" s="3" t="s">
        <v>159</v>
      </c>
      <c r="I39" s="3" t="s">
        <v>302</v>
      </c>
      <c r="J39" s="3" t="s">
        <v>126</v>
      </c>
      <c r="K39" s="3" t="s">
        <v>152</v>
      </c>
      <c r="L39" s="3" t="s">
        <v>153</v>
      </c>
    </row>
    <row r="40" customFormat="false" ht="15" hidden="false" customHeight="true" outlineLevel="0" collapsed="false">
      <c r="A40" s="3" t="s">
        <v>303</v>
      </c>
      <c r="B40" s="3" t="s">
        <v>304</v>
      </c>
      <c r="C40" s="3" t="s">
        <v>305</v>
      </c>
      <c r="D40" s="3" t="s">
        <v>306</v>
      </c>
      <c r="E40" s="3" t="s">
        <v>307</v>
      </c>
      <c r="F40" s="3" t="s">
        <v>308</v>
      </c>
      <c r="G40" s="3" t="s">
        <v>149</v>
      </c>
      <c r="H40" s="3" t="s">
        <v>150</v>
      </c>
      <c r="I40" s="3" t="s">
        <v>309</v>
      </c>
      <c r="J40" s="3" t="s">
        <v>126</v>
      </c>
      <c r="K40" s="3" t="s">
        <v>152</v>
      </c>
      <c r="L40" s="3" t="s">
        <v>153</v>
      </c>
    </row>
    <row r="41" customFormat="false" ht="15" hidden="false" customHeight="true" outlineLevel="0" collapsed="false">
      <c r="A41" s="3" t="s">
        <v>310</v>
      </c>
      <c r="B41" s="3" t="s">
        <v>311</v>
      </c>
      <c r="C41" s="3" t="s">
        <v>312</v>
      </c>
      <c r="D41" s="3" t="s">
        <v>221</v>
      </c>
      <c r="E41" s="3" t="s">
        <v>313</v>
      </c>
      <c r="F41" s="3" t="s">
        <v>314</v>
      </c>
      <c r="G41" s="3" t="s">
        <v>315</v>
      </c>
      <c r="H41" s="3" t="s">
        <v>316</v>
      </c>
      <c r="I41" s="3" t="s">
        <v>317</v>
      </c>
      <c r="J41" s="3" t="s">
        <v>128</v>
      </c>
      <c r="K41" s="3" t="s">
        <v>318</v>
      </c>
      <c r="L41" s="3" t="s">
        <v>319</v>
      </c>
    </row>
    <row r="42" customFormat="false" ht="26.4" hidden="false" customHeight="true" outlineLevel="0" collapsed="false">
      <c r="A42" s="3" t="s">
        <v>320</v>
      </c>
      <c r="B42" s="3" t="s">
        <v>321</v>
      </c>
      <c r="C42" s="3" t="s">
        <v>322</v>
      </c>
      <c r="D42" s="3" t="s">
        <v>323</v>
      </c>
      <c r="E42" s="3" t="s">
        <v>324</v>
      </c>
      <c r="F42" s="3" t="s">
        <v>325</v>
      </c>
      <c r="G42" s="3" t="s">
        <v>315</v>
      </c>
      <c r="H42" s="3" t="s">
        <v>316</v>
      </c>
      <c r="I42" s="3" t="s">
        <v>326</v>
      </c>
      <c r="J42" s="3" t="s">
        <v>128</v>
      </c>
      <c r="K42" s="3" t="s">
        <v>236</v>
      </c>
      <c r="L42" s="3" t="s">
        <v>319</v>
      </c>
    </row>
    <row r="43" customFormat="false" ht="15" hidden="false" customHeight="true" outlineLevel="0" collapsed="false">
      <c r="A43" s="3" t="s">
        <v>327</v>
      </c>
      <c r="B43" s="3" t="s">
        <v>328</v>
      </c>
      <c r="C43" s="3" t="s">
        <v>329</v>
      </c>
      <c r="D43" s="3" t="s">
        <v>234</v>
      </c>
      <c r="E43" s="3" t="s">
        <v>330</v>
      </c>
      <c r="F43" s="3" t="s">
        <v>331</v>
      </c>
      <c r="G43" s="3" t="s">
        <v>315</v>
      </c>
      <c r="H43" s="3" t="s">
        <v>316</v>
      </c>
      <c r="I43" s="3" t="s">
        <v>332</v>
      </c>
      <c r="J43" s="3" t="s">
        <v>128</v>
      </c>
      <c r="K43" s="3" t="s">
        <v>333</v>
      </c>
      <c r="L43" s="3" t="s">
        <v>319</v>
      </c>
    </row>
    <row r="44" customFormat="false" ht="26.4" hidden="false" customHeight="true" outlineLevel="0" collapsed="false">
      <c r="A44" s="3" t="s">
        <v>334</v>
      </c>
      <c r="B44" s="3" t="s">
        <v>335</v>
      </c>
      <c r="C44" s="3" t="s">
        <v>336</v>
      </c>
      <c r="D44" s="3" t="s">
        <v>241</v>
      </c>
      <c r="E44" s="3" t="s">
        <v>337</v>
      </c>
      <c r="F44" s="3" t="s">
        <v>53</v>
      </c>
      <c r="G44" s="3" t="s">
        <v>149</v>
      </c>
      <c r="H44" s="3" t="s">
        <v>316</v>
      </c>
      <c r="I44" s="3" t="s">
        <v>338</v>
      </c>
      <c r="J44" s="3" t="s">
        <v>128</v>
      </c>
      <c r="K44" s="3" t="s">
        <v>255</v>
      </c>
      <c r="L44" s="3" t="s">
        <v>256</v>
      </c>
    </row>
    <row r="45" customFormat="false" ht="26.4" hidden="false" customHeight="true" outlineLevel="0" collapsed="false">
      <c r="A45" s="3" t="s">
        <v>339</v>
      </c>
      <c r="B45" s="3" t="s">
        <v>340</v>
      </c>
      <c r="C45" s="3" t="s">
        <v>341</v>
      </c>
      <c r="D45" s="3" t="s">
        <v>271</v>
      </c>
      <c r="E45" s="3" t="s">
        <v>342</v>
      </c>
      <c r="F45" s="3" t="s">
        <v>343</v>
      </c>
      <c r="G45" s="3" t="s">
        <v>315</v>
      </c>
      <c r="H45" s="3" t="s">
        <v>316</v>
      </c>
      <c r="I45" s="3" t="s">
        <v>344</v>
      </c>
      <c r="J45" s="3" t="s">
        <v>126</v>
      </c>
      <c r="K45" s="3" t="s">
        <v>152</v>
      </c>
      <c r="L45" s="3" t="s">
        <v>153</v>
      </c>
    </row>
  </sheetData>
  <mergeCells count="5">
    <mergeCell ref="A1:J1"/>
    <mergeCell ref="A2:J2"/>
    <mergeCell ref="A3:J3"/>
    <mergeCell ref="A4:J4"/>
    <mergeCell ref="G6:L10"/>
  </mergeCells>
  <conditionalFormatting sqref="J13:J45">
    <cfRule type="expression" priority="2" aboveAverage="0" equalAverage="0" bottom="0" percent="0" rank="0" text="" dxfId="7">
      <formula>J13="PASS"</formula>
    </cfRule>
    <cfRule type="expression" priority="3" aboveAverage="0" equalAverage="0" bottom="0" percent="0" rank="0" text="" dxfId="8">
      <formula>J13="FAIL"</formula>
    </cfRule>
  </conditionalFormatting>
  <conditionalFormatting sqref="K13:L45">
    <cfRule type="expression" priority="4" aboveAverage="0" equalAverage="0" bottom="0" percent="0" rank="0" text="" dxfId="9">
      <formula>$J13="FAIL"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2026-10-12T15:55:37Z</dcterms:modified>
  <cp:revision>1</cp:revision>
  <dc:subject/>
  <dc:title/>
</cp:coreProperties>
</file>
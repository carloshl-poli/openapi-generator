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ráculos" sheetId="2" state="visible" r:id="rId2"/>
    <sheet xmlns:r="http://schemas.openxmlformats.org/officeDocument/2006/relationships" name="Matriz de casos" sheetId="3" state="visible" r:id="rId3"/>
    <sheet xmlns:r="http://schemas.openxmlformats.org/officeDocument/2006/relationships" name="Defeitos" sheetId="4" state="visible" r:id="rId4"/>
    <sheet xmlns:r="http://schemas.openxmlformats.org/officeDocument/2006/relationships" name="Fora da suíte normativ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Resumo e métricas: ExampleGenerator</t>
        </is>
      </c>
    </row>
    <row r="2"/>
    <row r="3">
      <c r="A3" s="2" t="inlineStr">
        <is>
          <t>Execução dos casos</t>
        </is>
      </c>
    </row>
    <row r="4">
      <c r="A4" t="inlineStr">
        <is>
          <t>Casos normativos projetados</t>
        </is>
      </c>
      <c r="B4">
        <f>COUNTA('Matriz de casos'!A5:A58)</f>
        <v/>
      </c>
    </row>
    <row r="5">
      <c r="A5" t="inlineStr">
        <is>
          <t>Casos executados</t>
        </is>
      </c>
      <c r="B5">
        <f>COUNTIF('Matriz de casos'!H5:H58,"PASS")+COUNTIF('Matriz de casos'!H5:H58,"FAIL")</f>
        <v/>
      </c>
    </row>
    <row r="6">
      <c r="A6" t="inlineStr">
        <is>
          <t>PASS</t>
        </is>
      </c>
      <c r="B6">
        <f>COUNTIF('Matriz de casos'!H5:H58,"PASS")</f>
        <v/>
      </c>
    </row>
    <row r="7">
      <c r="A7" t="inlineStr">
        <is>
          <t>FAIL</t>
        </is>
      </c>
      <c r="B7">
        <f>COUNTIF('Matriz de casos'!H5:H58,"FAIL")</f>
        <v/>
      </c>
    </row>
    <row r="8">
      <c r="A8" t="inlineStr">
        <is>
          <t>Invocações JUnit (com parametrizados)</t>
        </is>
      </c>
      <c r="B8">
        <f>SUM('Matriz de casos'!L5:L58)</f>
        <v/>
      </c>
    </row>
    <row r="9">
      <c r="A9" t="inlineStr">
        <is>
          <t>Invocações com falha</t>
        </is>
      </c>
      <c r="B9" t="inlineStr">
        <is>
          <t>7 (CT-EG-24 x2, CT-EG-25, CT-EG-29, CT-EG-45, CT-EG-48, CT-EG-52)</t>
        </is>
      </c>
    </row>
    <row r="10">
      <c r="A10" t="inlineStr">
        <is>
          <t>Famílias de defeito</t>
        </is>
      </c>
      <c r="B10" t="inlineStr">
        <is>
          <t>4 (F1–F4)</t>
        </is>
      </c>
    </row>
    <row r="11"/>
    <row r="12">
      <c r="A12" s="2" t="inlineStr">
        <is>
          <t>Complexidade ciclomática (JaCoCo)</t>
        </is>
      </c>
    </row>
    <row r="13">
      <c r="A13" t="inlineStr">
        <is>
          <t>Classe ExampleGenerator</t>
        </is>
      </c>
      <c r="B13" t="n">
        <v>112</v>
      </c>
    </row>
    <row r="14">
      <c r="A14" t="inlineStr">
        <is>
          <t>resolvePropertyToExample(String, String, Schema, Set)</t>
        </is>
      </c>
      <c r="B14" t="n">
        <v>32</v>
      </c>
    </row>
    <row r="15">
      <c r="A15" t="inlineStr">
        <is>
          <t>generate(Map, List, String)</t>
        </is>
      </c>
      <c r="B15" t="n">
        <v>14</v>
      </c>
    </row>
    <row r="16">
      <c r="A16" t="inlineStr">
        <is>
          <t>generate(Map, List, Schema)</t>
        </is>
      </c>
      <c r="B16" t="n">
        <v>13</v>
      </c>
    </row>
    <row r="17">
      <c r="A17" t="inlineStr">
        <is>
          <t>resolveModelToExample(String, String, Schema, Set)</t>
        </is>
      </c>
      <c r="B17" t="n">
        <v>11</v>
      </c>
    </row>
    <row r="18"/>
    <row r="19">
      <c r="A19" s="2" t="inlineStr">
        <is>
          <t>Cobertura JaCoCo da classe (só esta suíte)</t>
        </is>
      </c>
    </row>
    <row r="20">
      <c r="A20" t="inlineStr">
        <is>
          <t>Instruções</t>
        </is>
      </c>
      <c r="B20" t="inlineStr">
        <is>
          <t>97% (1140/1173)</t>
        </is>
      </c>
    </row>
    <row r="21">
      <c r="A21" t="inlineStr">
        <is>
          <t>Desvios (branches)</t>
        </is>
      </c>
      <c r="B21" t="inlineStr">
        <is>
          <t>90% (179/198)</t>
        </is>
      </c>
    </row>
    <row r="22">
      <c r="A22" t="inlineStr">
        <is>
          <t>Linhas</t>
        </is>
      </c>
      <c r="B22" t="inlineStr">
        <is>
          <t>97% (257/266)</t>
        </is>
      </c>
    </row>
    <row r="23">
      <c r="A23" t="inlineStr">
        <is>
          <t>Métodos</t>
        </is>
      </c>
      <c r="B23" t="inlineStr">
        <is>
          <t>100% (13/13)</t>
        </is>
      </c>
    </row>
    <row r="24"/>
    <row r="25">
      <c r="A25" s="2" t="inlineStr">
        <is>
          <t>Ambiente</t>
        </is>
      </c>
    </row>
    <row r="26">
      <c r="A26" t="inlineStr">
        <is>
          <t>Baseline</t>
        </is>
      </c>
      <c r="B26" t="inlineStr">
        <is>
          <t>OpenAPI Generator v7.25.0, commit ef964b04480889ef86b56cfae84ade8ad4c91c41</t>
        </is>
      </c>
    </row>
    <row r="27">
      <c r="A27" t="inlineStr">
        <is>
          <t>JDK / SO</t>
        </is>
      </c>
      <c r="B27" t="inlineStr">
        <is>
          <t>OpenJDK 22.0.2 / macOS (arm64); compilação no nível Java 11 do projeto</t>
        </is>
      </c>
    </row>
    <row r="28">
      <c r="A28" t="inlineStr">
        <is>
          <t>Frameworks</t>
        </is>
      </c>
      <c r="B28" t="inlineStr">
        <is>
          <t>JUnit 5.10.2 (jupiter-api + jupiter-params), JaCoCo 0.8.12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60" customWidth="1" min="3" max="3"/>
    <col width="11" customWidth="1" min="4" max="4"/>
    <col width="7" customWidth="1" min="5" max="5"/>
    <col width="7" customWidth="1" min="6" max="6"/>
  </cols>
  <sheetData>
    <row r="1">
      <c r="A1" s="1" t="inlineStr">
        <is>
          <t>Oráculos: ExampleGenerator (generate / generateFromResponseSchema)</t>
        </is>
      </c>
    </row>
    <row r="2">
      <c r="A2" t="inlineStr">
        <is>
          <t>Regras usadas como base do resultado esperado. O oráculo principal para valores gerados é a OAS 3.0.3 (Schema Object, example: "A free-form property to include an example of an instance for this schema"): o exemplo gerado deve ser uma instância válida do schema. As colunas D–F são calculadas a partir da aba "Matriz de casos".</t>
        </is>
      </c>
    </row>
    <row r="4">
      <c r="A4" s="2" t="inlineStr">
        <is>
          <t>ID</t>
        </is>
      </c>
      <c r="B4" s="2" t="inlineStr">
        <is>
          <t>Regra (comportamento esperado)</t>
        </is>
      </c>
      <c r="C4" s="2" t="inlineStr">
        <is>
          <t>Fonte / fundamentação</t>
        </is>
      </c>
      <c r="D4" s="2" t="inlineStr">
        <is>
          <t>Nº de casos</t>
        </is>
      </c>
      <c r="E4" s="2" t="inlineStr">
        <is>
          <t>PASS</t>
        </is>
      </c>
      <c r="F4" s="2" t="inlineStr">
        <is>
          <t>FAIL</t>
        </is>
      </c>
    </row>
    <row r="5">
      <c r="A5" t="inlineStr">
        <is>
          <t>R01</t>
        </is>
      </c>
      <c r="B5" s="3" t="inlineStr">
        <is>
          <t>Estrutura da saída: cada entrada tem contentType igual ao tipo de mídia; exemplos gerados trazem generatedContentType (application/json ou application/xml).</t>
        </is>
      </c>
      <c r="C5" s="3" t="inlineStr">
        <is>
          <t>Contrato consumido pelos templates (htmlDocs/index.mustache usa {{contentType}} e {{example}}); DefaultCodegen.fromOperation.</t>
        </is>
      </c>
      <c r="D5">
        <f>COUNTIF('Matriz de casos'!$C:$C,A5)</f>
        <v/>
      </c>
      <c r="E5">
        <f>COUNTIFS('Matriz de casos'!$C:$C,A5,'Matriz de casos'!$H:$H,"PASS")</f>
        <v/>
      </c>
      <c r="F5">
        <f>COUNTIFS('Matriz de casos'!$C:$C,A5,'Matriz de casos'!$H:$H,"FAIL")</f>
        <v/>
      </c>
    </row>
    <row r="6">
      <c r="A6" t="inlineStr">
        <is>
          <t>R02</t>
        </is>
      </c>
      <c r="B6" s="3" t="inlineStr">
        <is>
          <t>Exemplos explícitos (mapa examples não nulo) prevalecem: uma entrada por chave, com o valor serializado, sem geração.</t>
        </is>
      </c>
      <c r="C6" s="3" t="inlineStr">
        <is>
          <t>OAS 3.0.3, Media Type Object: o example "SHALL override the example provided by the schema"; código de generate(Map, List, ...).</t>
        </is>
      </c>
      <c r="D6">
        <f>COUNTIF('Matriz de casos'!$C:$C,A6)</f>
        <v/>
      </c>
      <c r="E6">
        <f>COUNTIFS('Matriz de casos'!$C:$C,A6,'Matriz de casos'!$H:$H,"PASS")</f>
        <v/>
      </c>
      <c r="F6">
        <f>COUNTIFS('Matriz de casos'!$C:$C,A6,'Matriz de casos'!$H:$H,"FAIL")</f>
        <v/>
      </c>
    </row>
    <row r="7">
      <c r="A7" t="inlineStr">
        <is>
          <t>R03</t>
        </is>
      </c>
      <c r="B7" s="3" t="inlineStr">
        <is>
          <t>generateFromResponseSchema: devolve null se não há example, $ref nem array; copia statusCode para cada exemplo; o contentType é um dos tipos de producesInfo e o example declarado é preservado.</t>
        </is>
      </c>
      <c r="C7" s="3" t="inlineStr">
        <is>
          <t>Uso em DefaultCodegen.fromOperation (examplesForResponse == null é ignorado); OAS 3.0.3 Schema Object example.</t>
        </is>
      </c>
      <c r="D7">
        <f>COUNTIF('Matriz de casos'!$C:$C,A7)</f>
        <v/>
      </c>
      <c r="E7">
        <f>COUNTIFS('Matriz de casos'!$C:$C,A7,'Matriz de casos'!$H:$H,"PASS")</f>
        <v/>
      </c>
      <c r="F7">
        <f>COUNTIFS('Matriz de casos'!$C:$C,A7,'Matriz de casos'!$H:$H,"FAIL")</f>
        <v/>
      </c>
    </row>
    <row r="8">
      <c r="A8" t="inlineStr">
        <is>
          <t>R04</t>
        </is>
      </c>
      <c r="B8" s="3" t="inlineStr">
        <is>
          <t>example declarado no schema prevalece sobre valores gerados; example do tipo Date é formatado como yyyy-MM-dd em UTC.</t>
        </is>
      </c>
      <c r="C8" s="3" t="inlineStr">
        <is>
          <t>OAS 3.0.3 Schema Object example; comentário no código ("we want to ensure that we're returning a formatted Date"); construtor define TimeZone UTC; issue #17494.</t>
        </is>
      </c>
      <c r="D8">
        <f>COUNTIF('Matriz de casos'!$C:$C,A8)</f>
        <v/>
      </c>
      <c r="E8">
        <f>COUNTIFS('Matriz de casos'!$C:$C,A8,'Matriz de casos'!$H:$H,"PASS")</f>
        <v/>
      </c>
      <c r="F8">
        <f>COUNTIFS('Matriz de casos'!$C:$C,A8,'Matriz de casos'!$H:$H,"FAIL")</f>
        <v/>
      </c>
    </row>
    <row r="9">
      <c r="A9" t="inlineStr">
        <is>
          <t>R05</t>
        </is>
      </c>
      <c r="B9" s="3" t="inlineStr">
        <is>
          <t>Tipos de mídia: JSON se começa com application/json ou contém */*; XML se começa com application/xml; lista nula assume application/json; modelo com outro tipo devolve "Custom MIME type example not yet supported: &lt;tipo&gt;"; nada produzido devolve [{output: none}].</t>
        </is>
      </c>
      <c r="C9" s="3" t="inlineStr">
        <is>
          <t>Comentários no código ("assume application/json for this"); ExampleGeneratorTest (upstream).</t>
        </is>
      </c>
      <c r="D9">
        <f>COUNTIF('Matriz de casos'!$C:$C,A9)</f>
        <v/>
      </c>
      <c r="E9">
        <f>COUNTIFS('Matriz de casos'!$C:$C,A9,'Matriz de casos'!$H:$H,"PASS")</f>
        <v/>
      </c>
      <c r="F9">
        <f>COUNTIFS('Matriz de casos'!$C:$C,A9,'Matriz de casos'!$H:$H,"FAIL")</f>
        <v/>
      </c>
    </row>
    <row r="10">
      <c r="A10" t="inlineStr">
        <is>
          <t>R06</t>
        </is>
      </c>
      <c r="B10" s="3" t="inlineStr">
        <is>
          <t>Reprodutibilidade: a mesma entrada gera o mesmo exemplo, inclusive para valores numéricos "aleatórios".</t>
        </is>
      </c>
      <c r="C10" s="3" t="inlineStr">
        <is>
          <t>Comentário no construtor: "use a fixed seed to make the 'random' numbers reproducible".</t>
        </is>
      </c>
      <c r="D10">
        <f>COUNTIF('Matriz de casos'!$C:$C,A10)</f>
        <v/>
      </c>
      <c r="E10">
        <f>COUNTIFS('Matriz de casos'!$C:$C,A10,'Matriz de casos'!$H:$H,"PASS")</f>
        <v/>
      </c>
      <c r="F10">
        <f>COUNTIFS('Matriz de casos'!$C:$C,A10,'Matriz de casos'!$H:$H,"FAIL")</f>
        <v/>
      </c>
    </row>
    <row r="11">
      <c r="A11" t="inlineStr">
        <is>
          <t>R07</t>
        </is>
      </c>
      <c r="B11" s="3" t="inlineStr">
        <is>
          <t>Valores numéricos gerados respeitam minimum, maximum, exclusiveMinimum e exclusiveMaximum.</t>
        </is>
      </c>
      <c r="C11" s="3" t="inlineStr">
        <is>
          <t>OAS 3.0.3 Schema Object: example é "an example of an instance for this schema"; JSON Schema Validation wright-00, 5.2 a 5.5.</t>
        </is>
      </c>
      <c r="D11">
        <f>COUNTIF('Matriz de casos'!$C:$C,A11)</f>
        <v/>
      </c>
      <c r="E11">
        <f>COUNTIFS('Matriz de casos'!$C:$C,A11,'Matriz de casos'!$H:$H,"PASS")</f>
        <v/>
      </c>
      <c r="F11">
        <f>COUNTIFS('Matriz de casos'!$C:$C,A11,'Matriz de casos'!$H:$H,"FAIL")</f>
        <v/>
      </c>
    </row>
    <row r="12">
      <c r="A12" t="inlineStr">
        <is>
          <t>R08</t>
        </is>
      </c>
      <c r="B12" s="3" t="inlineStr">
        <is>
          <t>Precedência em strings: default &gt; primeiro valor do enum &gt; formato uri/url &gt; nome da propriedade. Boolean: default, senão true.</t>
        </is>
      </c>
      <c r="C12" s="3" t="inlineStr">
        <is>
          <t>Código e mensagens de depuração de resolvePropertyToExample ("using property name ... as example"); issue #18622.</t>
        </is>
      </c>
      <c r="D12">
        <f>COUNTIF('Matriz de casos'!$C:$C,A12)</f>
        <v/>
      </c>
      <c r="E12">
        <f>COUNTIFS('Matriz de casos'!$C:$C,A12,'Matriz de casos'!$H:$H,"PASS")</f>
        <v/>
      </c>
      <c r="F12">
        <f>COUNTIFS('Matriz de casos'!$C:$C,A12,'Matriz de casos'!$H:$H,"FAIL")</f>
        <v/>
      </c>
    </row>
    <row r="13">
      <c r="A13" t="inlineStr">
        <is>
          <t>R09</t>
        </is>
      </c>
      <c r="B13" s="3" t="inlineStr">
        <is>
          <t>Arrays: comprimento = maxItems (2 se ausente), limitado a 5; itens conforme items; o comprimento respeita minItems.</t>
        </is>
      </c>
      <c r="C13" s="3" t="inlineStr">
        <is>
          <t>Comentário "avoid memory issues by limiting to max. 5 items"; JSON Schema Validation wright-00, 5.10 e 5.11.</t>
        </is>
      </c>
      <c r="D13">
        <f>COUNTIF('Matriz de casos'!$C:$C,A13)</f>
        <v/>
      </c>
      <c r="E13">
        <f>COUNTIFS('Matriz de casos'!$C:$C,A13,'Matriz de casos'!$H:$H,"PASS")</f>
        <v/>
      </c>
      <c r="F13">
        <f>COUNTIFS('Matriz de casos'!$C:$C,A13,'Matriz de casos'!$H:$H,"FAIL")</f>
        <v/>
      </c>
    </row>
    <row r="14">
      <c r="A14" t="inlineStr">
        <is>
          <t>R10</t>
        </is>
      </c>
      <c r="B14" s="3" t="inlineStr">
        <is>
          <t>Mapas (additionalProperties): objeto com a chave "key" e valor do tipo de additionalProperties.</t>
        </is>
      </c>
      <c r="C14" s="3" t="inlineStr">
        <is>
          <t>Código de resolvePropertyToExample (ramo isMapSchema).</t>
        </is>
      </c>
      <c r="D14">
        <f>COUNTIF('Matriz de casos'!$C:$C,A14)</f>
        <v/>
      </c>
      <c r="E14">
        <f>COUNTIFS('Matriz de casos'!$C:$C,A14,'Matriz de casos'!$H:$H,"PASS")</f>
        <v/>
      </c>
      <c r="F14">
        <f>COUNTIFS('Matriz de casos'!$C:$C,A14,'Matriz de casos'!$H:$H,"FAIL")</f>
        <v/>
      </c>
    </row>
    <row r="15">
      <c r="A15" t="inlineStr">
        <is>
          <t>R11</t>
        </is>
      </c>
      <c r="B15" s="3" t="inlineStr">
        <is>
          <t>Formatos e tipos: date, date-time, uuid, uri, url e binary têm valores fixos; integer gera número inteiro e number/float/double gera número fracionário.</t>
        </is>
      </c>
      <c r="C15" s="3" t="inlineStr">
        <is>
          <t>Código; JSON Schema Validation wright-00, 5.21 (type); issue #17494.</t>
        </is>
      </c>
      <c r="D15">
        <f>COUNTIF('Matriz de casos'!$C:$C,A15)</f>
        <v/>
      </c>
      <c r="E15">
        <f>COUNTIFS('Matriz de casos'!$C:$C,A15,'Matriz de casos'!$H:$H,"PASS")</f>
        <v/>
      </c>
      <c r="F15">
        <f>COUNTIFS('Matriz de casos'!$C:$C,A15,'Matriz de casos'!$H:$H,"FAIL")</f>
        <v/>
      </c>
    </row>
    <row r="16">
      <c r="A16" t="inlineStr">
        <is>
          <t>R12</t>
        </is>
      </c>
      <c r="B16" s="3" t="inlineStr">
        <is>
          <t>Modelos: propriedades na ordem de declaração; $ref resolvido para o exemplo do modelo; $ref inexistente não interrompe; ciclos diretos, indiretos e via allOf terminam; type: object gera objeto JSON.</t>
        </is>
      </c>
      <c r="C16" s="3" t="inlineStr">
        <is>
          <t>ExampleGeneratorTest.testExamplePropertyOrderPreservation (upstream); issues #23966 e #17497; JSON Schema Validation wright-00, 5.21 (type).</t>
        </is>
      </c>
      <c r="D16">
        <f>COUNTIF('Matriz de casos'!$C:$C,A16)</f>
        <v/>
      </c>
      <c r="E16">
        <f>COUNTIFS('Matriz de casos'!$C:$C,A16,'Matriz de casos'!$H:$H,"PASS")</f>
        <v/>
      </c>
      <c r="F16">
        <f>COUNTIFS('Matriz de casos'!$C:$C,A16,'Matriz de casos'!$H:$H,"FAIL")</f>
        <v/>
      </c>
    </row>
    <row r="17">
      <c r="A17" t="inlineStr">
        <is>
          <t>R13</t>
        </is>
      </c>
      <c r="B17" s="3" t="inlineStr">
        <is>
          <t>Composição: allOf combina as propriedades de todas as partes; oneOf/anyOf usa a primeira alternativa com $ref resolvível; modelo array/enum de nível superior gera array/primeiro valor.</t>
        </is>
      </c>
      <c r="C17" s="3" t="inlineStr">
        <is>
          <t>Issues #17497 e #18443; código de resolveModelToExample.</t>
        </is>
      </c>
      <c r="D17">
        <f>COUNTIF('Matriz de casos'!$C:$C,A17)</f>
        <v/>
      </c>
      <c r="E17">
        <f>COUNTIFS('Matriz de casos'!$C:$C,A17,'Matriz de casos'!$H:$H,"PASS")</f>
        <v/>
      </c>
      <c r="F17">
        <f>COUNTIFS('Matriz de casos'!$C:$C,A17,'Matriz de casos'!$H:$H,"FAIL")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34" customWidth="1" min="4" max="4"/>
    <col width="38" customWidth="1" min="5" max="5"/>
    <col width="36" customWidth="1" min="6" max="6"/>
    <col width="40" customWidth="1" min="7" max="7"/>
    <col width="8" customWidth="1" min="8" max="8"/>
    <col width="8" customWidth="1" min="9" max="9"/>
    <col width="32" customWidth="1" min="10" max="10"/>
    <col width="20" customWidth="1" min="11" max="11"/>
    <col width="11" customWidth="1" min="12" max="12"/>
  </cols>
  <sheetData>
    <row r="1">
      <c r="A1" s="1" t="inlineStr">
        <is>
          <t>Matriz de casos: ExampleGeneratorJUnitTest (JUnit 5, @Nested + @ParameterizedTest)</t>
        </is>
      </c>
    </row>
    <row r="2">
      <c r="A2" t="inlineStr">
        <is>
          <t>Executada em 12/10/2026 via Maven (Surefire), commit ef964b04480889ef86b56cfae84ade8ad4c91c41. Casos parametrizados contam como um caso normativo; a coluna L mostra quantas invocações o JUnit executou. Coluna J: família de defeito (ver aba Defeitos). Os casos CT-EG-49 a CT-EG-54 foram projetados depois da primeira medição de cobertura, para os ramos ainda não exercitados; cada um tem justificativa funcional (regra da coluna C).</t>
        </is>
      </c>
    </row>
    <row r="4">
      <c r="A4" s="2" t="inlineStr">
        <is>
          <t>ID</t>
        </is>
      </c>
      <c r="B4" s="2" t="inlineStr">
        <is>
          <t>Grupo</t>
        </is>
      </c>
      <c r="C4" s="2" t="inlineStr">
        <is>
          <t>Regra</t>
        </is>
      </c>
      <c r="D4" s="2" t="inlineStr">
        <is>
          <t>Técnica</t>
        </is>
      </c>
      <c r="E4" s="2" t="inlineStr">
        <is>
          <t>Entrada</t>
        </is>
      </c>
      <c r="F4" s="2" t="inlineStr">
        <is>
          <t>Resultado esperado</t>
        </is>
      </c>
      <c r="G4" s="2" t="inlineStr">
        <is>
          <t>Resultado obtido</t>
        </is>
      </c>
      <c r="H4" s="2" t="inlineStr">
        <is>
          <t>Status</t>
        </is>
      </c>
      <c r="I4" s="2" t="inlineStr">
        <is>
          <t>Família</t>
        </is>
      </c>
      <c r="J4" s="2" t="inlineStr">
        <is>
          <t>Método JUnit</t>
        </is>
      </c>
      <c r="K4" s="2" t="inlineStr">
        <is>
          <t>Classe @Nested</t>
        </is>
      </c>
      <c r="L4" s="2" t="inlineStr">
        <is>
          <t>Invocações</t>
        </is>
      </c>
    </row>
    <row r="5">
      <c r="A5" s="3" t="inlineStr">
        <is>
          <t>CT-EG-01</t>
        </is>
      </c>
      <c r="B5" s="3" t="inlineStr">
        <is>
          <t>Saída e mídia</t>
        </is>
      </c>
      <c r="C5" s="3" t="inlineStr">
        <is>
          <t>R02</t>
        </is>
      </c>
      <c r="D5" s="3" t="inlineStr">
        <is>
          <t>Partição: exemplos explícitos presentes</t>
        </is>
      </c>
      <c r="E5" s="3" t="inlineStr">
        <is>
          <t>generate({json:{id:1}, xml:"&lt;id&gt;1&lt;/id&gt;"}, [json], IntegerSchema)</t>
        </is>
      </c>
      <c r="F5" s="3" t="inlineStr">
        <is>
          <t>2 entradas, uma por chave, valores serializados, sem generatedContentType</t>
        </is>
      </c>
      <c r="G5" s="3" t="inlineStr">
        <is>
          <t>Conforme esperado</t>
        </is>
      </c>
      <c r="H5" s="4" t="inlineStr">
        <is>
          <t>PASS</t>
        </is>
      </c>
      <c r="I5" s="3" t="inlineStr"/>
      <c r="J5" s="3" t="inlineStr">
        <is>
          <t>explicitExamplesWin</t>
        </is>
      </c>
      <c r="K5" s="3" t="inlineStr">
        <is>
          <t>OutputStructure</t>
        </is>
      </c>
      <c r="L5" s="3" t="n">
        <v>1</v>
      </c>
    </row>
    <row r="6">
      <c r="A6" s="3" t="inlineStr">
        <is>
          <t>CT-EG-02</t>
        </is>
      </c>
      <c r="B6" s="3" t="inlineStr">
        <is>
          <t>Saída e mídia</t>
        </is>
      </c>
      <c r="C6" s="3" t="inlineStr">
        <is>
          <t>R05</t>
        </is>
      </c>
      <c r="D6" s="3" t="inlineStr">
        <is>
          <t>Valor-limite: lista de mídia nula</t>
        </is>
      </c>
      <c r="E6" s="3" t="inlineStr">
        <is>
          <t>generate(null, null, BooleanSchema)</t>
        </is>
      </c>
      <c r="F6" s="3" t="inlineStr">
        <is>
          <t>1 entrada application/json com example true</t>
        </is>
      </c>
      <c r="G6" s="3" t="inlineStr">
        <is>
          <t>Conforme esperado</t>
        </is>
      </c>
      <c r="H6" s="4" t="inlineStr">
        <is>
          <t>PASS</t>
        </is>
      </c>
      <c r="I6" s="3" t="inlineStr"/>
      <c r="J6" s="3" t="inlineStr">
        <is>
          <t>nullMediaTypesDefaultToJson</t>
        </is>
      </c>
      <c r="K6" s="3" t="inlineStr">
        <is>
          <t>OutputStructure</t>
        </is>
      </c>
      <c r="L6" s="3" t="n">
        <v>1</v>
      </c>
    </row>
    <row r="7">
      <c r="A7" s="3" t="inlineStr">
        <is>
          <t>CT-EG-03</t>
        </is>
      </c>
      <c r="B7" s="3" t="inlineStr">
        <is>
          <t>Saída e mídia</t>
        </is>
      </c>
      <c r="C7" s="3" t="inlineStr">
        <is>
          <t>R05</t>
        </is>
      </c>
      <c r="D7" s="3" t="inlineStr">
        <is>
          <t>Partição: tipos compatíveis com JSON (parametrizado)</t>
        </is>
      </c>
      <c r="E7" s="3" t="inlineStr">
        <is>
          <t>application/json; application/json; charset=utf-8; */*</t>
        </is>
      </c>
      <c r="F7" s="3" t="inlineStr">
        <is>
          <t>generatedContentType application/json, contentType preservado</t>
        </is>
      </c>
      <c r="G7" s="3" t="inlineStr">
        <is>
          <t>Conforme esperado (3/3)</t>
        </is>
      </c>
      <c r="H7" s="4" t="inlineStr">
        <is>
          <t>PASS</t>
        </is>
      </c>
      <c r="I7" s="3" t="inlineStr"/>
      <c r="J7" s="3" t="inlineStr">
        <is>
          <t>jsonCompatibleMediaTypes</t>
        </is>
      </c>
      <c r="K7" s="3" t="inlineStr">
        <is>
          <t>OutputStructure</t>
        </is>
      </c>
      <c r="L7" s="3" t="n">
        <v>3</v>
      </c>
    </row>
    <row r="8">
      <c r="A8" s="3" t="inlineStr">
        <is>
          <t>CT-EG-04</t>
        </is>
      </c>
      <c r="B8" s="3" t="inlineStr">
        <is>
          <t>Saída e mídia</t>
        </is>
      </c>
      <c r="C8" s="3" t="inlineStr">
        <is>
          <t>R05</t>
        </is>
      </c>
      <c r="D8" s="3" t="inlineStr">
        <is>
          <t>Partição: modelo em XML</t>
        </is>
      </c>
      <c r="E8" s="3" t="inlineStr">
        <is>
          <t>Pet{name example Rex}, [application/xml]</t>
        </is>
      </c>
      <c r="F8" s="3" t="inlineStr">
        <is>
          <t>Exemplo XML com &lt;name&gt;Rex&lt;/name&gt;</t>
        </is>
      </c>
      <c r="G8" s="3" t="inlineStr">
        <is>
          <t>Conforme esperado</t>
        </is>
      </c>
      <c r="H8" s="4" t="inlineStr">
        <is>
          <t>PASS</t>
        </is>
      </c>
      <c r="I8" s="3" t="inlineStr"/>
      <c r="J8" s="3" t="inlineStr">
        <is>
          <t>modelAsXml</t>
        </is>
      </c>
      <c r="K8" s="3" t="inlineStr">
        <is>
          <t>OutputStructure</t>
        </is>
      </c>
      <c r="L8" s="3" t="n">
        <v>1</v>
      </c>
    </row>
    <row r="9">
      <c r="A9" s="3" t="inlineStr">
        <is>
          <t>CT-EG-05</t>
        </is>
      </c>
      <c r="B9" s="3" t="inlineStr">
        <is>
          <t>Saída e mídia</t>
        </is>
      </c>
      <c r="C9" s="3" t="inlineStr">
        <is>
          <t>R05</t>
        </is>
      </c>
      <c r="D9" s="3" t="inlineStr">
        <is>
          <t>Partição: tipo de mídia não suportado (modelo)</t>
        </is>
      </c>
      <c r="E9" s="3" t="inlineStr">
        <is>
          <t>Pet, [text/plain]</t>
        </is>
      </c>
      <c r="F9" s="3" t="inlineStr">
        <is>
          <t>"Custom MIME type example not yet supported: text/plain"</t>
        </is>
      </c>
      <c r="G9" s="3" t="inlineStr">
        <is>
          <t>Conforme esperado</t>
        </is>
      </c>
      <c r="H9" s="4" t="inlineStr">
        <is>
          <t>PASS</t>
        </is>
      </c>
      <c r="I9" s="3" t="inlineStr"/>
      <c r="J9" s="3" t="inlineStr">
        <is>
          <t>modelWithCustomMediaType</t>
        </is>
      </c>
      <c r="K9" s="3" t="inlineStr">
        <is>
          <t>OutputStructure</t>
        </is>
      </c>
      <c r="L9" s="3" t="n">
        <v>1</v>
      </c>
    </row>
    <row r="10">
      <c r="A10" s="3" t="inlineStr">
        <is>
          <t>CT-EG-06</t>
        </is>
      </c>
      <c r="B10" s="3" t="inlineStr">
        <is>
          <t>Saída e mídia</t>
        </is>
      </c>
      <c r="C10" s="3" t="inlineStr">
        <is>
          <t>R05</t>
        </is>
      </c>
      <c r="D10" s="3" t="inlineStr">
        <is>
          <t>Partição: nada produzível (propriedade)</t>
        </is>
      </c>
      <c r="E10" s="3" t="inlineStr">
        <is>
          <t>StringSchema, [text/plain]</t>
        </is>
      </c>
      <c r="F10" s="3" t="inlineStr">
        <is>
          <t>[{output: none}]</t>
        </is>
      </c>
      <c r="G10" s="3" t="inlineStr">
        <is>
          <t>Conforme esperado</t>
        </is>
      </c>
      <c r="H10" s="4" t="inlineStr">
        <is>
          <t>PASS</t>
        </is>
      </c>
      <c r="I10" s="3" t="inlineStr"/>
      <c r="J10" s="3" t="inlineStr">
        <is>
          <t>nothingProducible</t>
        </is>
      </c>
      <c r="K10" s="3" t="inlineStr">
        <is>
          <t>OutputStructure</t>
        </is>
      </c>
      <c r="L10" s="3" t="n">
        <v>1</v>
      </c>
    </row>
    <row r="11">
      <c r="A11" s="3" t="inlineStr">
        <is>
          <t>CT-EG-07</t>
        </is>
      </c>
      <c r="B11" s="3" t="inlineStr">
        <is>
          <t>Saída e mídia</t>
        </is>
      </c>
      <c r="C11" s="3" t="inlineStr">
        <is>
          <t>R05</t>
        </is>
      </c>
      <c r="D11" s="3" t="inlineStr">
        <is>
          <t>Partição: modelo inexistente</t>
        </is>
      </c>
      <c r="E11" s="3" t="inlineStr">
        <is>
          <t>"DoesNotExist", [json]</t>
        </is>
      </c>
      <c r="F11" s="3" t="inlineStr">
        <is>
          <t>[{output: none}]</t>
        </is>
      </c>
      <c r="G11" s="3" t="inlineStr">
        <is>
          <t>Conforme esperado</t>
        </is>
      </c>
      <c r="H11" s="4" t="inlineStr">
        <is>
          <t>PASS</t>
        </is>
      </c>
      <c r="I11" s="3" t="inlineStr"/>
      <c r="J11" s="3" t="inlineStr">
        <is>
          <t>unknownModel</t>
        </is>
      </c>
      <c r="K11" s="3" t="inlineStr">
        <is>
          <t>OutputStructure</t>
        </is>
      </c>
      <c r="L11" s="3" t="n">
        <v>1</v>
      </c>
    </row>
    <row r="12">
      <c r="A12" s="3" t="inlineStr">
        <is>
          <t>CT-EG-08</t>
        </is>
      </c>
      <c r="B12" s="3" t="inlineStr">
        <is>
          <t>generateFromResponseSchema</t>
        </is>
      </c>
      <c r="C12" s="3" t="inlineStr">
        <is>
          <t>R03</t>
        </is>
      </c>
      <c r="D12" s="3" t="inlineStr">
        <is>
          <t>Partição: $ref com dois tipos de mídia</t>
        </is>
      </c>
      <c r="E12" s="3" t="inlineStr">
        <is>
          <t>"201", $ref Pet, {json, xml}</t>
        </is>
      </c>
      <c r="F12" s="3" t="inlineStr">
        <is>
          <t>2 exemplos, ambos com statusCode 201</t>
        </is>
      </c>
      <c r="G12" s="3" t="inlineStr">
        <is>
          <t>Conforme esperado</t>
        </is>
      </c>
      <c r="H12" s="4" t="inlineStr">
        <is>
          <t>PASS</t>
        </is>
      </c>
      <c r="I12" s="3" t="inlineStr"/>
      <c r="J12" s="3" t="inlineStr">
        <is>
          <t>statusCodeOnEveryExample</t>
        </is>
      </c>
      <c r="K12" s="3" t="inlineStr">
        <is>
          <t>FromResponseSchema</t>
        </is>
      </c>
      <c r="L12" s="3" t="n">
        <v>1</v>
      </c>
    </row>
    <row r="13">
      <c r="A13" s="3" t="inlineStr">
        <is>
          <t>CT-EG-09</t>
        </is>
      </c>
      <c r="B13" s="3" t="inlineStr">
        <is>
          <t>generateFromResponseSchema</t>
        </is>
      </c>
      <c r="C13" s="3" t="inlineStr">
        <is>
          <t>R03</t>
        </is>
      </c>
      <c r="D13" s="3" t="inlineStr">
        <is>
          <t>Partição: sem example, sem $ref, não array</t>
        </is>
      </c>
      <c r="E13" s="3" t="inlineStr">
        <is>
          <t>StringSchema sem example</t>
        </is>
      </c>
      <c r="F13" s="3" t="inlineStr">
        <is>
          <t>null</t>
        </is>
      </c>
      <c r="G13" s="3" t="inlineStr">
        <is>
          <t>Conforme esperado</t>
        </is>
      </c>
      <c r="H13" s="4" t="inlineStr">
        <is>
          <t>PASS</t>
        </is>
      </c>
      <c r="I13" s="3" t="inlineStr"/>
      <c r="J13" s="3" t="inlineStr">
        <is>
          <t>noExampleNoRefNoArray</t>
        </is>
      </c>
      <c r="K13" s="3" t="inlineStr">
        <is>
          <t>FromResponseSchema</t>
        </is>
      </c>
      <c r="L13" s="3" t="n">
        <v>1</v>
      </c>
    </row>
    <row r="14">
      <c r="A14" s="3" t="inlineStr">
        <is>
          <t>CT-EG-10</t>
        </is>
      </c>
      <c r="B14" s="3" t="inlineStr">
        <is>
          <t>generateFromResponseSchema</t>
        </is>
      </c>
      <c r="C14" s="3" t="inlineStr">
        <is>
          <t>R03</t>
        </is>
      </c>
      <c r="D14" s="3" t="inlineStr">
        <is>
          <t>Partição: example primitivo</t>
        </is>
      </c>
      <c r="E14" s="3" t="inlineStr">
        <is>
          <t>StringSchema example "pong"</t>
        </is>
      </c>
      <c r="F14" s="3" t="inlineStr">
        <is>
          <t>example "pong" em JSON, statusCode 200</t>
        </is>
      </c>
      <c r="G14" s="3" t="inlineStr">
        <is>
          <t>Conforme esperado</t>
        </is>
      </c>
      <c r="H14" s="4" t="inlineStr">
        <is>
          <t>PASS</t>
        </is>
      </c>
      <c r="I14" s="3" t="inlineStr"/>
      <c r="J14" s="3" t="inlineStr">
        <is>
          <t>primitiveExample</t>
        </is>
      </c>
      <c r="K14" s="3" t="inlineStr">
        <is>
          <t>FromResponseSchema</t>
        </is>
      </c>
      <c r="L14" s="3" t="n">
        <v>1</v>
      </c>
    </row>
    <row r="15">
      <c r="A15" s="3" t="inlineStr">
        <is>
          <t>CT-EG-11</t>
        </is>
      </c>
      <c r="B15" s="3" t="inlineStr">
        <is>
          <t>generateFromResponseSchema</t>
        </is>
      </c>
      <c r="C15" s="3" t="inlineStr">
        <is>
          <t>R03</t>
        </is>
      </c>
      <c r="D15" s="3" t="inlineStr">
        <is>
          <t>Partição: array de primitivos</t>
        </is>
      </c>
      <c r="E15" s="3" t="inlineStr">
        <is>
          <t>ArraySchema items boolean</t>
        </is>
      </c>
      <c r="F15" s="3" t="inlineStr">
        <is>
          <t>Array JSON de booleanos true</t>
        </is>
      </c>
      <c r="G15" s="3" t="inlineStr">
        <is>
          <t>Conforme esperado</t>
        </is>
      </c>
      <c r="H15" s="4" t="inlineStr">
        <is>
          <t>PASS</t>
        </is>
      </c>
      <c r="I15" s="3" t="inlineStr"/>
      <c r="J15" s="3" t="inlineStr">
        <is>
          <t>arrayResponse</t>
        </is>
      </c>
      <c r="K15" s="3" t="inlineStr">
        <is>
          <t>FromResponseSchema</t>
        </is>
      </c>
      <c r="L15" s="3" t="n">
        <v>1</v>
      </c>
    </row>
    <row r="16">
      <c r="A16" s="3" t="inlineStr">
        <is>
          <t>CT-EG-12</t>
        </is>
      </c>
      <c r="B16" s="3" t="inlineStr">
        <is>
          <t>Precedência</t>
        </is>
      </c>
      <c r="C16" s="3" t="inlineStr">
        <is>
          <t>R04</t>
        </is>
      </c>
      <c r="D16" s="3" t="inlineStr">
        <is>
          <t>Partição: example declarado x restrição</t>
        </is>
      </c>
      <c r="E16" s="3" t="inlineStr">
        <is>
          <t>integer minimum 100, example 42</t>
        </is>
      </c>
      <c r="F16" s="3" t="inlineStr">
        <is>
          <t>42</t>
        </is>
      </c>
      <c r="G16" s="3" t="inlineStr">
        <is>
          <t>Conforme esperado</t>
        </is>
      </c>
      <c r="H16" s="4" t="inlineStr">
        <is>
          <t>PASS</t>
        </is>
      </c>
      <c r="I16" s="3" t="inlineStr"/>
      <c r="J16" s="3" t="inlineStr">
        <is>
          <t>declaredExampleWins</t>
        </is>
      </c>
      <c r="K16" s="3" t="inlineStr">
        <is>
          <t>ValuePrecedence</t>
        </is>
      </c>
      <c r="L16" s="3" t="n">
        <v>1</v>
      </c>
    </row>
    <row r="17">
      <c r="A17" s="3" t="inlineStr">
        <is>
          <t>CT-EG-13</t>
        </is>
      </c>
      <c r="B17" s="3" t="inlineStr">
        <is>
          <t>Precedência</t>
        </is>
      </c>
      <c r="C17" s="3" t="inlineStr">
        <is>
          <t>R04</t>
        </is>
      </c>
      <c r="D17" s="3" t="inlineStr">
        <is>
          <t>Valor-limite: data perto da meia-noite UTC</t>
        </is>
      </c>
      <c r="E17" s="3" t="inlineStr">
        <is>
          <t>Date 2024-03-05T01:30Z (04/03 no fuso UTC-3)</t>
        </is>
      </c>
      <c r="F17" s="3" t="inlineStr">
        <is>
          <t>"2024-03-05"</t>
        </is>
      </c>
      <c r="G17" s="3" t="inlineStr">
        <is>
          <t>Conforme esperado</t>
        </is>
      </c>
      <c r="H17" s="4" t="inlineStr">
        <is>
          <t>PASS</t>
        </is>
      </c>
      <c r="I17" s="3" t="inlineStr"/>
      <c r="J17" s="3" t="inlineStr">
        <is>
          <t>dateExampleFormattedInUtc</t>
        </is>
      </c>
      <c r="K17" s="3" t="inlineStr">
        <is>
          <t>ValuePrecedence</t>
        </is>
      </c>
      <c r="L17" s="3" t="n">
        <v>1</v>
      </c>
    </row>
    <row r="18">
      <c r="A18" s="3" t="inlineStr">
        <is>
          <t>CT-EG-14</t>
        </is>
      </c>
      <c r="B18" s="3" t="inlineStr">
        <is>
          <t>Precedência</t>
        </is>
      </c>
      <c r="C18" s="3" t="inlineStr">
        <is>
          <t>R08</t>
        </is>
      </c>
      <c r="D18" s="3" t="inlineStr">
        <is>
          <t>Partição: default e enum</t>
        </is>
      </c>
      <c r="E18" s="3" t="inlineStr">
        <is>
          <t>enum [a,b], default b</t>
        </is>
      </c>
      <c r="F18" s="3" t="inlineStr">
        <is>
          <t>"b"</t>
        </is>
      </c>
      <c r="G18" s="3" t="inlineStr">
        <is>
          <t>Conforme esperado</t>
        </is>
      </c>
      <c r="H18" s="4" t="inlineStr">
        <is>
          <t>PASS</t>
        </is>
      </c>
      <c r="I18" s="3" t="inlineStr"/>
      <c r="J18" s="3" t="inlineStr">
        <is>
          <t>defaultBeatsEnum</t>
        </is>
      </c>
      <c r="K18" s="3" t="inlineStr">
        <is>
          <t>ValuePrecedence</t>
        </is>
      </c>
      <c r="L18" s="3" t="n">
        <v>1</v>
      </c>
    </row>
    <row r="19">
      <c r="A19" s="3" t="inlineStr">
        <is>
          <t>CT-EG-15</t>
        </is>
      </c>
      <c r="B19" s="3" t="inlineStr">
        <is>
          <t>Precedência</t>
        </is>
      </c>
      <c r="C19" s="3" t="inlineStr">
        <is>
          <t>R08</t>
        </is>
      </c>
      <c r="D19" s="3" t="inlineStr">
        <is>
          <t>Partição: só enum</t>
        </is>
      </c>
      <c r="E19" s="3" t="inlineStr">
        <is>
          <t>enum [available, sold]</t>
        </is>
      </c>
      <c r="F19" s="3" t="inlineStr">
        <is>
          <t>"available"</t>
        </is>
      </c>
      <c r="G19" s="3" t="inlineStr">
        <is>
          <t>Conforme esperado</t>
        </is>
      </c>
      <c r="H19" s="4" t="inlineStr">
        <is>
          <t>PASS</t>
        </is>
      </c>
      <c r="I19" s="3" t="inlineStr"/>
      <c r="J19" s="3" t="inlineStr">
        <is>
          <t>firstEnumValue</t>
        </is>
      </c>
      <c r="K19" s="3" t="inlineStr">
        <is>
          <t>ValuePrecedence</t>
        </is>
      </c>
      <c r="L19" s="3" t="n">
        <v>1</v>
      </c>
    </row>
    <row r="20">
      <c r="A20" s="3" t="inlineStr">
        <is>
          <t>CT-EG-16</t>
        </is>
      </c>
      <c r="B20" s="3" t="inlineStr">
        <is>
          <t>Precedência</t>
        </is>
      </c>
      <c r="C20" s="3" t="inlineStr">
        <is>
          <t>R08</t>
        </is>
      </c>
      <c r="D20" s="3" t="inlineStr">
        <is>
          <t>Partição: string sem default/enum, formato ausente ou não tratado (parametrizado)</t>
        </is>
      </c>
      <c r="E20" s="3" t="inlineStr">
        <is>
          <t>propriedade nickname: string com format ausente, email, password</t>
        </is>
      </c>
      <c r="F20" s="3" t="inlineStr">
        <is>
          <t>"nickname" nos 3 casos</t>
        </is>
      </c>
      <c r="G20" s="3" t="inlineStr">
        <is>
          <t>Conforme esperado (3/3)</t>
        </is>
      </c>
      <c r="H20" s="4" t="inlineStr">
        <is>
          <t>PASS</t>
        </is>
      </c>
      <c r="I20" s="3" t="inlineStr"/>
      <c r="J20" s="3" t="inlineStr">
        <is>
          <t>propertyNameFallback</t>
        </is>
      </c>
      <c r="K20" s="3" t="inlineStr">
        <is>
          <t>ValuePrecedence</t>
        </is>
      </c>
      <c r="L20" s="3" t="n">
        <v>3</v>
      </c>
    </row>
    <row r="21">
      <c r="A21" s="3" t="inlineStr">
        <is>
          <t>CT-EG-17</t>
        </is>
      </c>
      <c r="B21" s="3" t="inlineStr">
        <is>
          <t>Precedência</t>
        </is>
      </c>
      <c r="C21" s="3" t="inlineStr">
        <is>
          <t>R08</t>
        </is>
      </c>
      <c r="D21" s="3" t="inlineStr">
        <is>
          <t>Partição: boolean com default false/true/ausente (parametrizado)</t>
        </is>
      </c>
      <c r="E21" s="3" t="inlineStr">
        <is>
          <t>default false; true; null</t>
        </is>
      </c>
      <c r="F21" s="3" t="inlineStr">
        <is>
          <t>false; true; true</t>
        </is>
      </c>
      <c r="G21" s="3" t="inlineStr">
        <is>
          <t>Conforme esperado (3/3)</t>
        </is>
      </c>
      <c r="H21" s="4" t="inlineStr">
        <is>
          <t>PASS</t>
        </is>
      </c>
      <c r="I21" s="3" t="inlineStr"/>
      <c r="J21" s="3" t="inlineStr">
        <is>
          <t>booleanDefault</t>
        </is>
      </c>
      <c r="K21" s="3" t="inlineStr">
        <is>
          <t>ValuePrecedence</t>
        </is>
      </c>
      <c r="L21" s="3" t="n">
        <v>3</v>
      </c>
    </row>
    <row r="22">
      <c r="A22" s="3" t="inlineStr">
        <is>
          <t>CT-EG-18</t>
        </is>
      </c>
      <c r="B22" s="3" t="inlineStr">
        <is>
          <t>Formatos</t>
        </is>
      </c>
      <c r="C22" s="3" t="inlineStr">
        <is>
          <t>R11</t>
        </is>
      </c>
      <c r="D22" s="3" t="inlineStr">
        <is>
          <t>Partição: formatos de string (parametrizado)</t>
        </is>
      </c>
      <c r="E22" s="3" t="inlineStr">
        <is>
          <t>date, date-time, uuid, uri, url, binary</t>
        </is>
      </c>
      <c r="F22" s="3" t="inlineStr">
        <is>
          <t>Valores fixos de cada formato</t>
        </is>
      </c>
      <c r="G22" s="3" t="inlineStr">
        <is>
          <t>Conforme esperado (6/6)</t>
        </is>
      </c>
      <c r="H22" s="4" t="inlineStr">
        <is>
          <t>PASS</t>
        </is>
      </c>
      <c r="I22" s="3" t="inlineStr"/>
      <c r="J22" s="3" t="inlineStr">
        <is>
          <t>fixedFormatValues</t>
        </is>
      </c>
      <c r="K22" s="3" t="inlineStr">
        <is>
          <t>Formats</t>
        </is>
      </c>
      <c r="L22" s="3" t="n">
        <v>6</v>
      </c>
    </row>
    <row r="23">
      <c r="A23" s="3" t="inlineStr">
        <is>
          <t>CT-EG-19</t>
        </is>
      </c>
      <c r="B23" s="3" t="inlineStr">
        <is>
          <t>Formatos</t>
        </is>
      </c>
      <c r="C23" s="3" t="inlineStr">
        <is>
          <t>R11</t>
        </is>
      </c>
      <c r="D23" s="3" t="inlineStr">
        <is>
          <t>Partição: tipos numéricos (parametrizado)</t>
        </is>
      </c>
      <c r="E23" s="3" t="inlineStr">
        <is>
          <t>int32, int64, float, double, number</t>
        </is>
      </c>
      <c r="F23" s="3" t="inlineStr">
        <is>
          <t>Inteiro para integer; fracionário para number</t>
        </is>
      </c>
      <c r="G23" s="3" t="inlineStr">
        <is>
          <t>Conforme esperado (5/5)</t>
        </is>
      </c>
      <c r="H23" s="4" t="inlineStr">
        <is>
          <t>PASS</t>
        </is>
      </c>
      <c r="I23" s="3" t="inlineStr"/>
      <c r="J23" s="3" t="inlineStr">
        <is>
          <t>numericTypeIsPreserved</t>
        </is>
      </c>
      <c r="K23" s="3" t="inlineStr">
        <is>
          <t>Formats</t>
        </is>
      </c>
      <c r="L23" s="3" t="n">
        <v>5</v>
      </c>
    </row>
    <row r="24">
      <c r="A24" s="3" t="inlineStr">
        <is>
          <t>CT-EG-20</t>
        </is>
      </c>
      <c r="B24" s="3" t="inlineStr">
        <is>
          <t>Restrições numéricas</t>
        </is>
      </c>
      <c r="C24" s="3" t="inlineStr">
        <is>
          <t>R07</t>
        </is>
      </c>
      <c r="D24" s="3" t="inlineStr">
        <is>
          <t>Partição: minimum e maximum</t>
        </is>
      </c>
      <c r="E24" s="3" t="inlineStr">
        <is>
          <t>integer [10, 20]</t>
        </is>
      </c>
      <c r="F24" s="3" t="inlineStr">
        <is>
          <t>10 &lt;= valor &lt;= 20</t>
        </is>
      </c>
      <c r="G24" s="3" t="inlineStr">
        <is>
          <t>Conforme esperado</t>
        </is>
      </c>
      <c r="H24" s="4" t="inlineStr">
        <is>
          <t>PASS</t>
        </is>
      </c>
      <c r="I24" s="3" t="inlineStr"/>
      <c r="J24" s="3" t="inlineStr">
        <is>
          <t>integerWithinRange</t>
        </is>
      </c>
      <c r="K24" s="3" t="inlineStr">
        <is>
          <t>NumericConstraints</t>
        </is>
      </c>
      <c r="L24" s="3" t="n">
        <v>1</v>
      </c>
    </row>
    <row r="25">
      <c r="A25" s="3" t="inlineStr">
        <is>
          <t>CT-EG-21</t>
        </is>
      </c>
      <c r="B25" s="3" t="inlineStr">
        <is>
          <t>Restrições numéricas</t>
        </is>
      </c>
      <c r="C25" s="3" t="inlineStr">
        <is>
          <t>R07</t>
        </is>
      </c>
      <c r="D25" s="3" t="inlineStr">
        <is>
          <t>Partição: só minimum</t>
        </is>
      </c>
      <c r="E25" s="3" t="inlineStr">
        <is>
          <t>integer minimum 100</t>
        </is>
      </c>
      <c r="F25" s="3" t="inlineStr">
        <is>
          <t>valor &gt;= 100</t>
        </is>
      </c>
      <c r="G25" s="3" t="inlineStr">
        <is>
          <t>Conforme esperado</t>
        </is>
      </c>
      <c r="H25" s="4" t="inlineStr">
        <is>
          <t>PASS</t>
        </is>
      </c>
      <c r="I25" s="3" t="inlineStr"/>
      <c r="J25" s="3" t="inlineStr">
        <is>
          <t>integerMinimumOnly</t>
        </is>
      </c>
      <c r="K25" s="3" t="inlineStr">
        <is>
          <t>NumericConstraints</t>
        </is>
      </c>
      <c r="L25" s="3" t="n">
        <v>1</v>
      </c>
    </row>
    <row r="26">
      <c r="A26" s="3" t="inlineStr">
        <is>
          <t>CT-EG-22</t>
        </is>
      </c>
      <c r="B26" s="3" t="inlineStr">
        <is>
          <t>Restrições numéricas</t>
        </is>
      </c>
      <c r="C26" s="3" t="inlineStr">
        <is>
          <t>R07</t>
        </is>
      </c>
      <c r="D26" s="3" t="inlineStr">
        <is>
          <t>Partição: só maximum positivo</t>
        </is>
      </c>
      <c r="E26" s="3" t="inlineStr">
        <is>
          <t>integer maximum 50</t>
        </is>
      </c>
      <c r="F26" s="3" t="inlineStr">
        <is>
          <t>valor &lt;= 50</t>
        </is>
      </c>
      <c r="G26" s="3" t="inlineStr">
        <is>
          <t>Conforme esperado</t>
        </is>
      </c>
      <c r="H26" s="4" t="inlineStr">
        <is>
          <t>PASS</t>
        </is>
      </c>
      <c r="I26" s="3" t="inlineStr"/>
      <c r="J26" s="3" t="inlineStr">
        <is>
          <t>integerPositiveMaximumOnly</t>
        </is>
      </c>
      <c r="K26" s="3" t="inlineStr">
        <is>
          <t>NumericConstraints</t>
        </is>
      </c>
      <c r="L26" s="3" t="n">
        <v>1</v>
      </c>
    </row>
    <row r="27">
      <c r="A27" s="3" t="inlineStr">
        <is>
          <t>CT-EG-23</t>
        </is>
      </c>
      <c r="B27" s="3" t="inlineStr">
        <is>
          <t>Restrições numéricas</t>
        </is>
      </c>
      <c r="C27" s="3" t="inlineStr">
        <is>
          <t>R07</t>
        </is>
      </c>
      <c r="D27" s="3" t="inlineStr">
        <is>
          <t>Valor-limite: minimum = maximum</t>
        </is>
      </c>
      <c r="E27" s="3" t="inlineStr">
        <is>
          <t>integer [7, 7]</t>
        </is>
      </c>
      <c r="F27" s="3" t="inlineStr">
        <is>
          <t>7</t>
        </is>
      </c>
      <c r="G27" s="3" t="inlineStr">
        <is>
          <t>Conforme esperado</t>
        </is>
      </c>
      <c r="H27" s="4" t="inlineStr">
        <is>
          <t>PASS</t>
        </is>
      </c>
      <c r="I27" s="3" t="inlineStr"/>
      <c r="J27" s="3" t="inlineStr">
        <is>
          <t>degenerateRange</t>
        </is>
      </c>
      <c r="K27" s="3" t="inlineStr">
        <is>
          <t>NumericConstraints</t>
        </is>
      </c>
      <c r="L27" s="3" t="n">
        <v>1</v>
      </c>
    </row>
    <row r="28">
      <c r="A28" s="3" t="inlineStr">
        <is>
          <t>CT-EG-24</t>
        </is>
      </c>
      <c r="B28" s="3" t="inlineStr">
        <is>
          <t>Restrições numéricas</t>
        </is>
      </c>
      <c r="C28" s="3" t="inlineStr">
        <is>
          <t>R07</t>
        </is>
      </c>
      <c r="D28" s="3" t="inlineStr">
        <is>
          <t>Partição: só maximum negativo (parametrizado integer/number)</t>
        </is>
      </c>
      <c r="E28" s="3" t="inlineStr">
        <is>
          <t>maximum -5</t>
        </is>
      </c>
      <c r="F28" s="3" t="inlineStr">
        <is>
          <t>valor &lt;= -5</t>
        </is>
      </c>
      <c r="G28" s="3" t="inlineStr">
        <is>
          <t>integer: 0; number: -0.40041409523050575 (randomNumber calcula random * max, que fica em (max, 0])</t>
        </is>
      </c>
      <c r="H28" s="5" t="inlineStr">
        <is>
          <t>FAIL</t>
        </is>
      </c>
      <c r="I28" s="3" t="inlineStr">
        <is>
          <t>F1</t>
        </is>
      </c>
      <c r="J28" s="3" t="inlineStr">
        <is>
          <t>negativeMaximumOnly</t>
        </is>
      </c>
      <c r="K28" s="3" t="inlineStr">
        <is>
          <t>NumericConstraints</t>
        </is>
      </c>
      <c r="L28" s="3" t="n">
        <v>2</v>
      </c>
    </row>
    <row r="29">
      <c r="A29" s="3" t="inlineStr">
        <is>
          <t>CT-EG-25</t>
        </is>
      </c>
      <c r="B29" s="3" t="inlineStr">
        <is>
          <t>Restrições numéricas</t>
        </is>
      </c>
      <c r="C29" s="3" t="inlineStr">
        <is>
          <t>R07</t>
        </is>
      </c>
      <c r="D29" s="3" t="inlineStr">
        <is>
          <t>Valor-limite: minimum exclusivo em integer</t>
        </is>
      </c>
      <c r="E29" s="3" t="inlineStr">
        <is>
          <t>integer minimum 0, exclusiveMinimum true</t>
        </is>
      </c>
      <c r="F29" s="3" t="inlineStr">
        <is>
          <t>valor &gt; 0</t>
        </is>
      </c>
      <c r="G29" s="3" t="inlineStr">
        <is>
          <t>0 (exclusiveMinimum ignorado; random + 0 truncado para int)</t>
        </is>
      </c>
      <c r="H29" s="5" t="inlineStr">
        <is>
          <t>FAIL</t>
        </is>
      </c>
      <c r="I29" s="3" t="inlineStr">
        <is>
          <t>F1</t>
        </is>
      </c>
      <c r="J29" s="3" t="inlineStr">
        <is>
          <t>integerExclusiveMinimum</t>
        </is>
      </c>
      <c r="K29" s="3" t="inlineStr">
        <is>
          <t>NumericConstraints</t>
        </is>
      </c>
      <c r="L29" s="3" t="n">
        <v>1</v>
      </c>
    </row>
    <row r="30">
      <c r="A30" s="3" t="inlineStr">
        <is>
          <t>CT-EG-26</t>
        </is>
      </c>
      <c r="B30" s="3" t="inlineStr">
        <is>
          <t>Restrições numéricas</t>
        </is>
      </c>
      <c r="C30" s="3" t="inlineStr">
        <is>
          <t>R07</t>
        </is>
      </c>
      <c r="D30" s="3" t="inlineStr">
        <is>
          <t>Valor-limite: maximum exclusivo em number</t>
        </is>
      </c>
      <c r="E30" s="3" t="inlineStr">
        <is>
          <t>number [0, 1), exclusiveMaximum true</t>
        </is>
      </c>
      <c r="F30" s="3" t="inlineStr">
        <is>
          <t>0 &lt;= valor &lt; 1</t>
        </is>
      </c>
      <c r="G30" s="3" t="inlineStr">
        <is>
          <t>Conforme esperado</t>
        </is>
      </c>
      <c r="H30" s="4" t="inlineStr">
        <is>
          <t>PASS</t>
        </is>
      </c>
      <c r="I30" s="3" t="inlineStr"/>
      <c r="J30" s="3" t="inlineStr">
        <is>
          <t>numberExclusiveMaximum</t>
        </is>
      </c>
      <c r="K30" s="3" t="inlineStr">
        <is>
          <t>NumericConstraints</t>
        </is>
      </c>
      <c r="L30" s="3" t="n">
        <v>1</v>
      </c>
    </row>
    <row r="31">
      <c r="A31" s="3" t="inlineStr">
        <is>
          <t>CT-EG-27</t>
        </is>
      </c>
      <c r="B31" s="3" t="inlineStr">
        <is>
          <t>Arrays</t>
        </is>
      </c>
      <c r="C31" s="3" t="inlineStr">
        <is>
          <t>R09</t>
        </is>
      </c>
      <c r="D31" s="3" t="inlineStr">
        <is>
          <t>Valor-limite: maxItems (parametrizado)</t>
        </is>
      </c>
      <c r="E31" s="3" t="inlineStr">
        <is>
          <t>maxItems ausente, 0, 1, 3, 5, 6, 100</t>
        </is>
      </c>
      <c r="F31" s="3" t="inlineStr">
        <is>
          <t>2, 0, 1, 3, 5, 5, 5 itens</t>
        </is>
      </c>
      <c r="G31" s="3" t="inlineStr">
        <is>
          <t>Conforme esperado (7/7)</t>
        </is>
      </c>
      <c r="H31" s="4" t="inlineStr">
        <is>
          <t>PASS</t>
        </is>
      </c>
      <c r="I31" s="3" t="inlineStr"/>
      <c r="J31" s="3" t="inlineStr">
        <is>
          <t>lengthFollowsMaxItemsWithCapOfFive</t>
        </is>
      </c>
      <c r="K31" s="3" t="inlineStr">
        <is>
          <t>ArrayExamples</t>
        </is>
      </c>
      <c r="L31" s="3" t="n">
        <v>7</v>
      </c>
    </row>
    <row r="32">
      <c r="A32" s="3" t="inlineStr">
        <is>
          <t>CT-EG-28</t>
        </is>
      </c>
      <c r="B32" s="3" t="inlineStr">
        <is>
          <t>Arrays</t>
        </is>
      </c>
      <c r="C32" s="3" t="inlineStr">
        <is>
          <t>R09</t>
        </is>
      </c>
      <c r="D32" s="3" t="inlineStr">
        <is>
          <t>Partição: itens conforme items</t>
        </is>
      </c>
      <c r="E32" s="3" t="inlineStr">
        <is>
          <t>array de uuid</t>
        </is>
      </c>
      <c r="F32" s="3" t="inlineStr">
        <is>
          <t>Todos os itens são o uuid fixo</t>
        </is>
      </c>
      <c r="G32" s="3" t="inlineStr">
        <is>
          <t>Conforme esperado</t>
        </is>
      </c>
      <c r="H32" s="4" t="inlineStr">
        <is>
          <t>PASS</t>
        </is>
      </c>
      <c r="I32" s="3" t="inlineStr"/>
      <c r="J32" s="3" t="inlineStr">
        <is>
          <t>itemsFollowItemSchema</t>
        </is>
      </c>
      <c r="K32" s="3" t="inlineStr">
        <is>
          <t>ArrayExamples</t>
        </is>
      </c>
      <c r="L32" s="3" t="n">
        <v>1</v>
      </c>
    </row>
    <row r="33">
      <c r="A33" s="3" t="inlineStr">
        <is>
          <t>CT-EG-29</t>
        </is>
      </c>
      <c r="B33" s="3" t="inlineStr">
        <is>
          <t>Arrays</t>
        </is>
      </c>
      <c r="C33" s="3" t="inlineStr">
        <is>
          <t>R09</t>
        </is>
      </c>
      <c r="D33" s="3" t="inlineStr">
        <is>
          <t>Valor-limite: minItems acima do padrão</t>
        </is>
      </c>
      <c r="E33" s="3" t="inlineStr">
        <is>
          <t>minItems 3, sem maxItems</t>
        </is>
      </c>
      <c r="F33" s="3" t="inlineStr">
        <is>
          <t>Ao menos 3 itens</t>
        </is>
      </c>
      <c r="G33" s="3" t="inlineStr">
        <is>
          <t>2 itens (minItems ignorado)</t>
        </is>
      </c>
      <c r="H33" s="5" t="inlineStr">
        <is>
          <t>FAIL</t>
        </is>
      </c>
      <c r="I33" s="3" t="inlineStr">
        <is>
          <t>F2</t>
        </is>
      </c>
      <c r="J33" s="3" t="inlineStr">
        <is>
          <t>minItemsIsRespected</t>
        </is>
      </c>
      <c r="K33" s="3" t="inlineStr">
        <is>
          <t>ArrayExamples</t>
        </is>
      </c>
      <c r="L33" s="3" t="n">
        <v>1</v>
      </c>
    </row>
    <row r="34">
      <c r="A34" s="3" t="inlineStr">
        <is>
          <t>CT-EG-30</t>
        </is>
      </c>
      <c r="B34" s="3" t="inlineStr">
        <is>
          <t>Mapas</t>
        </is>
      </c>
      <c r="C34" s="3" t="inlineStr">
        <is>
          <t>R10</t>
        </is>
      </c>
      <c r="D34" s="3" t="inlineStr">
        <is>
          <t>Partição: additionalProperties</t>
        </is>
      </c>
      <c r="E34" s="3" t="inlineStr">
        <is>
          <t>map de date</t>
        </is>
      </c>
      <c r="F34" s="3" t="inlineStr">
        <is>
          <t>{"key": "2000-01-23"}</t>
        </is>
      </c>
      <c r="G34" s="3" t="inlineStr">
        <is>
          <t>Conforme esperado</t>
        </is>
      </c>
      <c r="H34" s="4" t="inlineStr">
        <is>
          <t>PASS</t>
        </is>
      </c>
      <c r="I34" s="3" t="inlineStr"/>
      <c r="J34" s="3" t="inlineStr">
        <is>
          <t>mapUsesKeyPlaceholder</t>
        </is>
      </c>
      <c r="K34" s="3" t="inlineStr">
        <is>
          <t>Maps</t>
        </is>
      </c>
      <c r="L34" s="3" t="n">
        <v>1</v>
      </c>
    </row>
    <row r="35">
      <c r="A35" s="3" t="inlineStr">
        <is>
          <t>CT-EG-31</t>
        </is>
      </c>
      <c r="B35" s="3" t="inlineStr">
        <is>
          <t>Modelos</t>
        </is>
      </c>
      <c r="C35" s="3" t="inlineStr">
        <is>
          <t>R12</t>
        </is>
      </c>
      <c r="D35" s="3" t="inlineStr">
        <is>
          <t>Partição: modelo com várias propriedades</t>
        </is>
      </c>
      <c r="E35" s="3" t="inlineStr">
        <is>
          <t>Pet{id, name, born}</t>
        </is>
      </c>
      <c r="F35" s="3" t="inlineStr">
        <is>
          <t>Chaves na ordem id, name, born</t>
        </is>
      </c>
      <c r="G35" s="3" t="inlineStr">
        <is>
          <t>Conforme esperado</t>
        </is>
      </c>
      <c r="H35" s="4" t="inlineStr">
        <is>
          <t>PASS</t>
        </is>
      </c>
      <c r="I35" s="3" t="inlineStr"/>
      <c r="J35" s="3" t="inlineStr">
        <is>
          <t>propertyOrder</t>
        </is>
      </c>
      <c r="K35" s="3" t="inlineStr">
        <is>
          <t>Models</t>
        </is>
      </c>
      <c r="L35" s="3" t="n">
        <v>1</v>
      </c>
    </row>
    <row r="36">
      <c r="A36" s="3" t="inlineStr">
        <is>
          <t>CT-EG-32</t>
        </is>
      </c>
      <c r="B36" s="3" t="inlineStr">
        <is>
          <t>Modelos</t>
        </is>
      </c>
      <c r="C36" s="3" t="inlineStr">
        <is>
          <t>R12</t>
        </is>
      </c>
      <c r="D36" s="3" t="inlineStr">
        <is>
          <t>Partição: $ref aninhado</t>
        </is>
      </c>
      <c r="E36" s="3" t="inlineStr">
        <is>
          <t>Pet.category -&gt; Category{label: dogs}</t>
        </is>
      </c>
      <c r="F36" s="3" t="inlineStr">
        <is>
          <t>category.label = dogs</t>
        </is>
      </c>
      <c r="G36" s="3" t="inlineStr">
        <is>
          <t>Conforme esperado</t>
        </is>
      </c>
      <c r="H36" s="4" t="inlineStr">
        <is>
          <t>PASS</t>
        </is>
      </c>
      <c r="I36" s="3" t="inlineStr"/>
      <c r="J36" s="3" t="inlineStr">
        <is>
          <t>nestedReference</t>
        </is>
      </c>
      <c r="K36" s="3" t="inlineStr">
        <is>
          <t>Models</t>
        </is>
      </c>
      <c r="L36" s="3" t="n">
        <v>1</v>
      </c>
    </row>
    <row r="37">
      <c r="A37" s="3" t="inlineStr">
        <is>
          <t>CT-EG-33</t>
        </is>
      </c>
      <c r="B37" s="3" t="inlineStr">
        <is>
          <t>Modelos</t>
        </is>
      </c>
      <c r="C37" s="3" t="inlineStr">
        <is>
          <t>R12</t>
        </is>
      </c>
      <c r="D37" s="3" t="inlineStr">
        <is>
          <t>Partição: $ref inexistente</t>
        </is>
      </c>
      <c r="E37" s="3" t="inlineStr">
        <is>
          <t>Pet.owner -&gt; Missing</t>
        </is>
      </c>
      <c r="F37" s="3" t="inlineStr">
        <is>
          <t>Geração continua; owner presente; id = 3</t>
        </is>
      </c>
      <c r="G37" s="3" t="inlineStr">
        <is>
          <t>Conforme esperado</t>
        </is>
      </c>
      <c r="H37" s="4" t="inlineStr">
        <is>
          <t>PASS</t>
        </is>
      </c>
      <c r="I37" s="3" t="inlineStr"/>
      <c r="J37" s="3" t="inlineStr">
        <is>
          <t>danglingReference</t>
        </is>
      </c>
      <c r="K37" s="3" t="inlineStr">
        <is>
          <t>Models</t>
        </is>
      </c>
      <c r="L37" s="3" t="n">
        <v>1</v>
      </c>
    </row>
    <row r="38">
      <c r="A38" s="3" t="inlineStr">
        <is>
          <t>CT-EG-34</t>
        </is>
      </c>
      <c r="B38" s="3" t="inlineStr">
        <is>
          <t>Modelos</t>
        </is>
      </c>
      <c r="C38" s="3" t="inlineStr">
        <is>
          <t>R12</t>
        </is>
      </c>
      <c r="D38" s="3" t="inlineStr">
        <is>
          <t>Estrutura: autorreferência</t>
        </is>
      </c>
      <c r="E38" s="3" t="inlineStr">
        <is>
          <t>Node.next -&gt; Node</t>
        </is>
      </c>
      <c r="F38" s="3" t="inlineStr">
        <is>
          <t>Termina; next ausente/nulo</t>
        </is>
      </c>
      <c r="G38" s="3" t="inlineStr">
        <is>
          <t>Conforme esperado</t>
        </is>
      </c>
      <c r="H38" s="4" t="inlineStr">
        <is>
          <t>PASS</t>
        </is>
      </c>
      <c r="I38" s="3" t="inlineStr"/>
      <c r="J38" s="3" t="inlineStr">
        <is>
          <t>selfReferenceTerminates</t>
        </is>
      </c>
      <c r="K38" s="3" t="inlineStr">
        <is>
          <t>Models</t>
        </is>
      </c>
      <c r="L38" s="3" t="n">
        <v>1</v>
      </c>
    </row>
    <row r="39">
      <c r="A39" s="3" t="inlineStr">
        <is>
          <t>CT-EG-35</t>
        </is>
      </c>
      <c r="B39" s="3" t="inlineStr">
        <is>
          <t>Modelos</t>
        </is>
      </c>
      <c r="C39" s="3" t="inlineStr">
        <is>
          <t>R12</t>
        </is>
      </c>
      <c r="D39" s="3" t="inlineStr">
        <is>
          <t>Estrutura: ciclo indireto</t>
        </is>
      </c>
      <c r="E39" s="3" t="inlineStr">
        <is>
          <t>A.b -&gt; B, B.a -&gt; A</t>
        </is>
      </c>
      <c r="F39" s="3" t="inlineStr">
        <is>
          <t>Termina; b é objeto</t>
        </is>
      </c>
      <c r="G39" s="3" t="inlineStr">
        <is>
          <t>Conforme esperado</t>
        </is>
      </c>
      <c r="H39" s="4" t="inlineStr">
        <is>
          <t>PASS</t>
        </is>
      </c>
      <c r="I39" s="3" t="inlineStr"/>
      <c r="J39" s="3" t="inlineStr">
        <is>
          <t>indirectCycleTerminates</t>
        </is>
      </c>
      <c r="K39" s="3" t="inlineStr">
        <is>
          <t>Models</t>
        </is>
      </c>
      <c r="L39" s="3" t="n">
        <v>1</v>
      </c>
    </row>
    <row r="40">
      <c r="A40" s="3" t="inlineStr">
        <is>
          <t>CT-EG-36</t>
        </is>
      </c>
      <c r="B40" s="3" t="inlineStr">
        <is>
          <t>Composição</t>
        </is>
      </c>
      <c r="C40" s="3" t="inlineStr">
        <is>
          <t>R13</t>
        </is>
      </c>
      <c r="D40" s="3" t="inlineStr">
        <is>
          <t>Partição: allOf ref + inline</t>
        </is>
      </c>
      <c r="E40" s="3" t="inlineStr">
        <is>
          <t>Dog allOf [Animal, {barks}]</t>
        </is>
      </c>
      <c r="F40" s="3" t="inlineStr">
        <is>
          <t>name = Rex e barks = true</t>
        </is>
      </c>
      <c r="G40" s="3" t="inlineStr">
        <is>
          <t>Conforme esperado</t>
        </is>
      </c>
      <c r="H40" s="4" t="inlineStr">
        <is>
          <t>PASS</t>
        </is>
      </c>
      <c r="I40" s="3" t="inlineStr"/>
      <c r="J40" s="3" t="inlineStr">
        <is>
          <t>allOfMergesProperties</t>
        </is>
      </c>
      <c r="K40" s="3" t="inlineStr">
        <is>
          <t>Models</t>
        </is>
      </c>
      <c r="L40" s="3" t="n">
        <v>1</v>
      </c>
    </row>
    <row r="41">
      <c r="A41" s="3" t="inlineStr">
        <is>
          <t>CT-EG-37</t>
        </is>
      </c>
      <c r="B41" s="3" t="inlineStr">
        <is>
          <t>Composição</t>
        </is>
      </c>
      <c r="C41" s="3" t="inlineStr">
        <is>
          <t>R13</t>
        </is>
      </c>
      <c r="D41" s="3" t="inlineStr">
        <is>
          <t>Partição: oneOf/anyOf com ref inválido primeiro (parametrizado)</t>
        </is>
      </c>
      <c r="E41" s="3" t="inlineStr">
        <is>
          <t>oneOf [Missing, Cat, Dog]; anyOf [Missing, Cat, Dog]</t>
        </is>
      </c>
      <c r="F41" s="3" t="inlineStr">
        <is>
          <t>kind = cat nos dois casos</t>
        </is>
      </c>
      <c r="G41" s="3" t="inlineStr">
        <is>
          <t>Conforme esperado (2/2)</t>
        </is>
      </c>
      <c r="H41" s="4" t="inlineStr">
        <is>
          <t>PASS</t>
        </is>
      </c>
      <c r="I41" s="3" t="inlineStr"/>
      <c r="J41" s="3" t="inlineStr">
        <is>
          <t>firstResolvableAlternative</t>
        </is>
      </c>
      <c r="K41" s="3" t="inlineStr">
        <is>
          <t>Models</t>
        </is>
      </c>
      <c r="L41" s="3" t="n">
        <v>2</v>
      </c>
    </row>
    <row r="42">
      <c r="A42" s="3" t="inlineStr">
        <is>
          <t>CT-EG-38</t>
        </is>
      </c>
      <c r="B42" s="3" t="inlineStr">
        <is>
          <t>Composição</t>
        </is>
      </c>
      <c r="C42" s="3" t="inlineStr">
        <is>
          <t>R13</t>
        </is>
      </c>
      <c r="D42" s="3" t="inlineStr">
        <is>
          <t>Partição: enum de nível superior</t>
        </is>
      </c>
      <c r="E42" s="3" t="inlineStr">
        <is>
          <t>Status enum [placed, approved]</t>
        </is>
      </c>
      <c r="F42" s="3" t="inlineStr">
        <is>
          <t>"placed"</t>
        </is>
      </c>
      <c r="G42" s="3" t="inlineStr">
        <is>
          <t>Conforme esperado</t>
        </is>
      </c>
      <c r="H42" s="4" t="inlineStr">
        <is>
          <t>PASS</t>
        </is>
      </c>
      <c r="I42" s="3" t="inlineStr"/>
      <c r="J42" s="3" t="inlineStr">
        <is>
          <t>topLevelEnumModel</t>
        </is>
      </c>
      <c r="K42" s="3" t="inlineStr">
        <is>
          <t>Models</t>
        </is>
      </c>
      <c r="L42" s="3" t="n">
        <v>1</v>
      </c>
    </row>
    <row r="43">
      <c r="A43" s="3" t="inlineStr">
        <is>
          <t>CT-EG-39</t>
        </is>
      </c>
      <c r="B43" s="3" t="inlineStr">
        <is>
          <t>Reprodutibilidade</t>
        </is>
      </c>
      <c r="C43" s="3" t="inlineStr">
        <is>
          <t>R06</t>
        </is>
      </c>
      <c r="D43" s="3" t="inlineStr">
        <is>
          <t>Comparação entre instâncias</t>
        </is>
      </c>
      <c r="E43" s="3" t="inlineStr">
        <is>
          <t>Measure{int, double, float, int64&gt;=1000} em 2 geradores</t>
        </is>
      </c>
      <c r="F43" s="3" t="inlineStr">
        <is>
          <t>Saídas idênticas</t>
        </is>
      </c>
      <c r="G43" s="3" t="inlineStr">
        <is>
          <t>Conforme esperado</t>
        </is>
      </c>
      <c r="H43" s="4" t="inlineStr">
        <is>
          <t>PASS</t>
        </is>
      </c>
      <c r="I43" s="3" t="inlineStr"/>
      <c r="J43" s="3" t="inlineStr">
        <is>
          <t>sameInputSameOutput</t>
        </is>
      </c>
      <c r="K43" s="3" t="inlineStr">
        <is>
          <t>Determinism</t>
        </is>
      </c>
      <c r="L43" s="3" t="n">
        <v>1</v>
      </c>
    </row>
    <row r="44">
      <c r="A44" s="3" t="inlineStr">
        <is>
          <t>CT-EG-40</t>
        </is>
      </c>
      <c r="B44" s="3" t="inlineStr">
        <is>
          <t>Reprodutibilidade</t>
        </is>
      </c>
      <c r="C44" s="3" t="inlineStr">
        <is>
          <t>R06</t>
        </is>
      </c>
      <c r="D44" s="3" t="inlineStr">
        <is>
          <t>Chamadas repetidas</t>
        </is>
      </c>
      <c r="E44" s="3" t="inlineStr">
        <is>
          <t>Mesmo gerador chamado 2 vezes</t>
        </is>
      </c>
      <c r="F44" s="3" t="inlineStr">
        <is>
          <t>Exemplos idênticos</t>
        </is>
      </c>
      <c r="G44" s="3" t="inlineStr">
        <is>
          <t>Conforme esperado (o 2º vem do example gravado no schema; ver E1)</t>
        </is>
      </c>
      <c r="H44" s="4" t="inlineStr">
        <is>
          <t>PASS</t>
        </is>
      </c>
      <c r="I44" s="3" t="inlineStr"/>
      <c r="J44" s="3" t="inlineStr">
        <is>
          <t>repeatedCallsAreStable</t>
        </is>
      </c>
      <c r="K44" s="3" t="inlineStr">
        <is>
          <t>Determinism</t>
        </is>
      </c>
      <c r="L44" s="3" t="n">
        <v>1</v>
      </c>
    </row>
    <row r="45">
      <c r="A45" s="3" t="inlineStr">
        <is>
          <t>CT-EG-41</t>
        </is>
      </c>
      <c r="B45" s="3" t="inlineStr">
        <is>
          <t>Saída e mídia</t>
        </is>
      </c>
      <c r="C45" s="3" t="inlineStr">
        <is>
          <t>R05</t>
        </is>
      </c>
      <c r="D45" s="3" t="inlineStr">
        <is>
          <t>Partição: propriedade em XML</t>
        </is>
      </c>
      <c r="E45" s="3" t="inlineStr">
        <is>
          <t>StringSchema example abc, [xml]</t>
        </is>
      </c>
      <c r="F45" s="3" t="inlineStr">
        <is>
          <t>Exemplo XML contendo abc, generatedContentType xml</t>
        </is>
      </c>
      <c r="G45" s="3" t="inlineStr">
        <is>
          <t>Conforme esperado</t>
        </is>
      </c>
      <c r="H45" s="4" t="inlineStr">
        <is>
          <t>PASS</t>
        </is>
      </c>
      <c r="I45" s="3" t="inlineStr"/>
      <c r="J45" s="3" t="inlineStr">
        <is>
          <t>propertyAsXml</t>
        </is>
      </c>
      <c r="K45" s="3" t="inlineStr">
        <is>
          <t>OutputStructure</t>
        </is>
      </c>
      <c r="L45" s="3" t="n">
        <v>1</v>
      </c>
    </row>
    <row r="46">
      <c r="A46" s="3" t="inlineStr">
        <is>
          <t>CT-EG-42</t>
        </is>
      </c>
      <c r="B46" s="3" t="inlineStr">
        <is>
          <t>Saída e mídia</t>
        </is>
      </c>
      <c r="C46" s="3" t="inlineStr">
        <is>
          <t>R02</t>
        </is>
      </c>
      <c r="D46" s="3" t="inlineStr">
        <is>
          <t>Partição: exemplos explícitos (sobrecarga por modelo)</t>
        </is>
      </c>
      <c r="E46" s="3" t="inlineStr">
        <is>
          <t>generate({json:{id:99}}, [json], "Pet")</t>
        </is>
      </c>
      <c r="F46" s="3" t="inlineStr">
        <is>
          <t>id = 99</t>
        </is>
      </c>
      <c r="G46" s="3" t="inlineStr">
        <is>
          <t>Conforme esperado</t>
        </is>
      </c>
      <c r="H46" s="4" t="inlineStr">
        <is>
          <t>PASS</t>
        </is>
      </c>
      <c r="I46" s="3" t="inlineStr"/>
      <c r="J46" s="3" t="inlineStr">
        <is>
          <t>explicitExamplesWinForModel</t>
        </is>
      </c>
      <c r="K46" s="3" t="inlineStr">
        <is>
          <t>OutputStructure</t>
        </is>
      </c>
      <c r="L46" s="3" t="n">
        <v>1</v>
      </c>
    </row>
    <row r="47">
      <c r="A47" s="3" t="inlineStr">
        <is>
          <t>CT-EG-43</t>
        </is>
      </c>
      <c r="B47" s="3" t="inlineStr">
        <is>
          <t>Saída e mídia</t>
        </is>
      </c>
      <c r="C47" s="3" t="inlineStr">
        <is>
          <t>R05</t>
        </is>
      </c>
      <c r="D47" s="3" t="inlineStr">
        <is>
          <t>Valor-limite: lista de mídia nula (modelo)</t>
        </is>
      </c>
      <c r="E47" s="3" t="inlineStr">
        <is>
          <t>generate(null, null, "Pet")</t>
        </is>
      </c>
      <c r="F47" s="3" t="inlineStr">
        <is>
          <t>1 entrada application/json, id = 5</t>
        </is>
      </c>
      <c r="G47" s="3" t="inlineStr">
        <is>
          <t>Conforme esperado</t>
        </is>
      </c>
      <c r="H47" s="4" t="inlineStr">
        <is>
          <t>PASS</t>
        </is>
      </c>
      <c r="I47" s="3" t="inlineStr"/>
      <c r="J47" s="3" t="inlineStr">
        <is>
          <t>modelWithNullMediaTypes</t>
        </is>
      </c>
      <c r="K47" s="3" t="inlineStr">
        <is>
          <t>OutputStructure</t>
        </is>
      </c>
      <c r="L47" s="3" t="n">
        <v>1</v>
      </c>
    </row>
    <row r="48">
      <c r="A48" s="3" t="inlineStr">
        <is>
          <t>CT-EG-44</t>
        </is>
      </c>
      <c r="B48" s="3" t="inlineStr">
        <is>
          <t>generateFromResponseSchema</t>
        </is>
      </c>
      <c r="C48" s="3" t="inlineStr">
        <is>
          <t>R03</t>
        </is>
      </c>
      <c r="D48" s="3" t="inlineStr">
        <is>
          <t>Partição: example primitivo por tipo de mídia (parametrizado)</t>
        </is>
      </c>
      <c r="E48" s="3" t="inlineStr">
        <is>
          <t>example "pong" com produces {xml}; {text/plain}; {*/*}</t>
        </is>
      </c>
      <c r="F48" s="3" t="inlineStr">
        <is>
          <t>output none; output none; "pong" como JSON</t>
        </is>
      </c>
      <c r="G48" s="3" t="inlineStr">
        <is>
          <t>Conforme esperado (3/3)</t>
        </is>
      </c>
      <c r="H48" s="4" t="inlineStr">
        <is>
          <t>PASS</t>
        </is>
      </c>
      <c r="I48" s="3" t="inlineStr"/>
      <c r="J48" s="3" t="inlineStr">
        <is>
          <t>primitiveExampleByMediaType</t>
        </is>
      </c>
      <c r="K48" s="3" t="inlineStr">
        <is>
          <t>FromResponseSchema</t>
        </is>
      </c>
      <c r="L48" s="3" t="n">
        <v>3</v>
      </c>
    </row>
    <row r="49">
      <c r="A49" s="3" t="inlineStr">
        <is>
          <t>CT-EG-45</t>
        </is>
      </c>
      <c r="B49" s="3" t="inlineStr">
        <is>
          <t>generateFromResponseSchema</t>
        </is>
      </c>
      <c r="C49" s="3" t="inlineStr">
        <is>
          <t>R03</t>
        </is>
      </c>
      <c r="D49" s="3" t="inlineStr">
        <is>
          <t>Partição: objeto inline com example objeto (java.util.Map)</t>
        </is>
      </c>
      <c r="E49" s="3" t="inlineStr">
        <is>
          <t>ObjectSchema{id,name}, example Map{id:1,name:Rex}, {json}</t>
        </is>
      </c>
      <c r="F49" s="3" t="inlineStr">
        <is>
          <t>1 exemplo, contentType application/json, example {id:1,name:Rex}</t>
        </is>
      </c>
      <c r="G49" s="3" t="inlineStr">
        <is>
          <t>2 exemplos com contentType "name" e "id" (as chaves do example viram tipos de mídia)</t>
        </is>
      </c>
      <c r="H49" s="5" t="inlineStr">
        <is>
          <t>FAIL</t>
        </is>
      </c>
      <c r="I49" s="3" t="inlineStr">
        <is>
          <t>F3</t>
        </is>
      </c>
      <c r="J49" s="3" t="inlineStr">
        <is>
          <t>inlineObjectExample</t>
        </is>
      </c>
      <c r="K49" s="3" t="inlineStr">
        <is>
          <t>FromResponseSchema</t>
        </is>
      </c>
      <c r="L49" s="3" t="n">
        <v>1</v>
      </c>
    </row>
    <row r="50">
      <c r="A50" s="3" t="inlineStr">
        <is>
          <t>CT-EG-46</t>
        </is>
      </c>
      <c r="B50" s="3" t="inlineStr">
        <is>
          <t>Composição</t>
        </is>
      </c>
      <c r="C50" s="3" t="inlineStr">
        <is>
          <t>R12</t>
        </is>
      </c>
      <c r="D50" s="3" t="inlineStr">
        <is>
          <t>Estrutura: ciclo via allOf</t>
        </is>
      </c>
      <c r="E50" s="3" t="inlineStr">
        <is>
          <t>A allOf [B, {fromA}], B allOf [A, {fromB}]</t>
        </is>
      </c>
      <c r="F50" s="3" t="inlineStr">
        <is>
          <t>Termina; fromA = 1 e fromB = 2</t>
        </is>
      </c>
      <c r="G50" s="3" t="inlineStr">
        <is>
          <t>Conforme esperado</t>
        </is>
      </c>
      <c r="H50" s="4" t="inlineStr">
        <is>
          <t>PASS</t>
        </is>
      </c>
      <c r="I50" s="3" t="inlineStr"/>
      <c r="J50" s="3" t="inlineStr">
        <is>
          <t>allOfCycleTerminates</t>
        </is>
      </c>
      <c r="K50" s="3" t="inlineStr">
        <is>
          <t>Models</t>
        </is>
      </c>
      <c r="L50" s="3" t="n">
        <v>1</v>
      </c>
    </row>
    <row r="51">
      <c r="A51" s="3" t="inlineStr">
        <is>
          <t>CT-EG-47</t>
        </is>
      </c>
      <c r="B51" s="3" t="inlineStr">
        <is>
          <t>Composição</t>
        </is>
      </c>
      <c r="C51" s="3" t="inlineStr">
        <is>
          <t>R13</t>
        </is>
      </c>
      <c r="D51" s="3" t="inlineStr">
        <is>
          <t>Partição: array de nível superior</t>
        </is>
      </c>
      <c r="E51" s="3" t="inlineStr">
        <is>
          <t>Tags: array de date</t>
        </is>
      </c>
      <c r="F51" s="3" t="inlineStr">
        <is>
          <t>Array com "2000-01-23"</t>
        </is>
      </c>
      <c r="G51" s="3" t="inlineStr">
        <is>
          <t>Conforme esperado</t>
        </is>
      </c>
      <c r="H51" s="4" t="inlineStr">
        <is>
          <t>PASS</t>
        </is>
      </c>
      <c r="I51" s="3" t="inlineStr"/>
      <c r="J51" s="3" t="inlineStr">
        <is>
          <t>topLevelArrayModel</t>
        </is>
      </c>
      <c r="K51" s="3" t="inlineStr">
        <is>
          <t>Models</t>
        </is>
      </c>
      <c r="L51" s="3" t="n">
        <v>1</v>
      </c>
    </row>
    <row r="52">
      <c r="A52" s="3" t="inlineStr">
        <is>
          <t>CT-EG-48</t>
        </is>
      </c>
      <c r="B52" s="3" t="inlineStr">
        <is>
          <t>Modelos</t>
        </is>
      </c>
      <c r="C52" s="3" t="inlineStr">
        <is>
          <t>R12</t>
        </is>
      </c>
      <c r="D52" s="3" t="inlineStr">
        <is>
          <t>Partição: object sem propriedades</t>
        </is>
      </c>
      <c r="E52" s="3" t="inlineStr">
        <is>
          <t>propriedade metadata: type object</t>
        </is>
      </c>
      <c r="F52" s="3" t="inlineStr">
        <is>
          <t>Objeto JSON</t>
        </is>
      </c>
      <c r="G52" s="3" t="inlineStr">
        <is>
          <t>String "{}"</t>
        </is>
      </c>
      <c r="H52" s="5" t="inlineStr">
        <is>
          <t>FAIL</t>
        </is>
      </c>
      <c r="I52" s="3" t="inlineStr">
        <is>
          <t>F4</t>
        </is>
      </c>
      <c r="J52" s="3" t="inlineStr">
        <is>
          <t>emptyInlineObjectIsJsonObject</t>
        </is>
      </c>
      <c r="K52" s="3" t="inlineStr">
        <is>
          <t>Models</t>
        </is>
      </c>
      <c r="L52" s="3" t="n">
        <v>1</v>
      </c>
    </row>
    <row r="53">
      <c r="A53" s="3" t="inlineStr">
        <is>
          <t>CT-EG-49</t>
        </is>
      </c>
      <c r="B53" s="3" t="inlineStr">
        <is>
          <t>Saída e mídia</t>
        </is>
      </c>
      <c r="C53" s="3" t="inlineStr">
        <is>
          <t>R05</t>
        </is>
      </c>
      <c r="D53" s="3" t="inlineStr">
        <is>
          <t>Valor-limite: schema nulo (parametrizado)</t>
        </is>
      </c>
      <c r="E53" s="3" t="inlineStr">
        <is>
          <t>generate(null, [json]|[xml], (Schema) null)</t>
        </is>
      </c>
      <c r="F53" s="3" t="inlineStr">
        <is>
          <t>[{output: none}]</t>
        </is>
      </c>
      <c r="G53" s="3" t="inlineStr">
        <is>
          <t>Conforme esperado (2/2)</t>
        </is>
      </c>
      <c r="H53" s="4" t="inlineStr">
        <is>
          <t>PASS</t>
        </is>
      </c>
      <c r="I53" s="3" t="inlineStr"/>
      <c r="J53" s="3" t="inlineStr">
        <is>
          <t>nullProperty</t>
        </is>
      </c>
      <c r="K53" s="3" t="inlineStr">
        <is>
          <t>OutputStructure</t>
        </is>
      </c>
      <c r="L53" s="3" t="n">
        <v>2</v>
      </c>
    </row>
    <row r="54">
      <c r="A54" s="3" t="inlineStr">
        <is>
          <t>CT-EG-50</t>
        </is>
      </c>
      <c r="B54" s="3" t="inlineStr">
        <is>
          <t>Precedência</t>
        </is>
      </c>
      <c r="C54" s="3" t="inlineStr">
        <is>
          <t>R08</t>
        </is>
      </c>
      <c r="D54" s="3" t="inlineStr">
        <is>
          <t>Valor-limite: enum vazio</t>
        </is>
      </c>
      <c r="E54" s="3" t="inlineStr">
        <is>
          <t>enum [] sem default</t>
        </is>
      </c>
      <c r="F54" s="3" t="inlineStr">
        <is>
          <t>"nickname" (nome da propriedade)</t>
        </is>
      </c>
      <c r="G54" s="3" t="inlineStr">
        <is>
          <t>Conforme esperado</t>
        </is>
      </c>
      <c r="H54" s="4" t="inlineStr">
        <is>
          <t>PASS</t>
        </is>
      </c>
      <c r="I54" s="3" t="inlineStr"/>
      <c r="J54" s="3" t="inlineStr">
        <is>
          <t>emptyEnumFallsBackToName</t>
        </is>
      </c>
      <c r="K54" s="3" t="inlineStr">
        <is>
          <t>ValuePrecedence</t>
        </is>
      </c>
      <c r="L54" s="3" t="n">
        <v>1</v>
      </c>
    </row>
    <row r="55">
      <c r="A55" s="3" t="inlineStr">
        <is>
          <t>CT-EG-51</t>
        </is>
      </c>
      <c r="B55" s="3" t="inlineStr">
        <is>
          <t>Modelos</t>
        </is>
      </c>
      <c r="C55" s="3" t="inlineStr">
        <is>
          <t>R12</t>
        </is>
      </c>
      <c r="D55" s="3" t="inlineStr">
        <is>
          <t>Partição: schema sem tipo (any type)</t>
        </is>
      </c>
      <c r="E55" s="3" t="inlineStr">
        <is>
          <t>Box{content: {}, id example 4}</t>
        </is>
      </c>
      <c r="F55" s="3" t="inlineStr">
        <is>
          <t>Geração continua; content presente; id = 4</t>
        </is>
      </c>
      <c r="G55" s="3" t="inlineStr">
        <is>
          <t>Conforme esperado</t>
        </is>
      </c>
      <c r="H55" s="4" t="inlineStr">
        <is>
          <t>PASS</t>
        </is>
      </c>
      <c r="I55" s="3" t="inlineStr"/>
      <c r="J55" s="3" t="inlineStr">
        <is>
          <t>anyTypeProperty</t>
        </is>
      </c>
      <c r="K55" s="3" t="inlineStr">
        <is>
          <t>Models</t>
        </is>
      </c>
      <c r="L55" s="3" t="n">
        <v>1</v>
      </c>
    </row>
    <row r="56">
      <c r="A56" s="3" t="inlineStr">
        <is>
          <t>CT-EG-52</t>
        </is>
      </c>
      <c r="B56" s="3" t="inlineStr">
        <is>
          <t>Modelos</t>
        </is>
      </c>
      <c r="C56" s="3" t="inlineStr">
        <is>
          <t>R12</t>
        </is>
      </c>
      <c r="D56" s="3" t="inlineStr">
        <is>
          <t>Partição: modelo de nível superior object sem propriedades</t>
        </is>
      </c>
      <c r="E56" s="3" t="inlineStr">
        <is>
          <t>Anything: type object</t>
        </is>
      </c>
      <c r="F56" s="3" t="inlineStr">
        <is>
          <t>Objeto JSON</t>
        </is>
      </c>
      <c r="G56" s="3" t="inlineStr">
        <is>
          <t>null (resolveModelToExample devolve null)</t>
        </is>
      </c>
      <c r="H56" s="5" t="inlineStr">
        <is>
          <t>FAIL</t>
        </is>
      </c>
      <c r="I56" s="3" t="inlineStr">
        <is>
          <t>F4</t>
        </is>
      </c>
      <c r="J56" s="3" t="inlineStr">
        <is>
          <t>emptyTopLevelObjectModel</t>
        </is>
      </c>
      <c r="K56" s="3" t="inlineStr">
        <is>
          <t>Models</t>
        </is>
      </c>
      <c r="L56" s="3" t="n">
        <v>1</v>
      </c>
    </row>
    <row r="57">
      <c r="A57" s="3" t="inlineStr">
        <is>
          <t>CT-EG-53</t>
        </is>
      </c>
      <c r="B57" s="3" t="inlineStr">
        <is>
          <t>Composição</t>
        </is>
      </c>
      <c r="C57" s="3" t="inlineStr">
        <is>
          <t>R13</t>
        </is>
      </c>
      <c r="D57" s="3" t="inlineStr">
        <is>
          <t>Estrutura: allOf aninhado (allOf de allOf)</t>
        </is>
      </c>
      <c r="E57" s="3" t="inlineStr">
        <is>
          <t>Outer allOf [allOf[{a},{b}], {c}]</t>
        </is>
      </c>
      <c r="F57" s="3" t="inlineStr">
        <is>
          <t>a = 1, b = 2, c = 3</t>
        </is>
      </c>
      <c r="G57" s="3" t="inlineStr">
        <is>
          <t>Conforme esperado</t>
        </is>
      </c>
      <c r="H57" s="4" t="inlineStr">
        <is>
          <t>PASS</t>
        </is>
      </c>
      <c r="I57" s="3" t="inlineStr"/>
      <c r="J57" s="3" t="inlineStr">
        <is>
          <t>nestedAllOf</t>
        </is>
      </c>
      <c r="K57" s="3" t="inlineStr">
        <is>
          <t>Models</t>
        </is>
      </c>
      <c r="L57" s="3" t="n">
        <v>1</v>
      </c>
    </row>
    <row r="58">
      <c r="A58" s="3" t="inlineStr">
        <is>
          <t>CT-EG-54</t>
        </is>
      </c>
      <c r="B58" s="3" t="inlineStr">
        <is>
          <t>Composição</t>
        </is>
      </c>
      <c r="C58" s="3" t="inlineStr">
        <is>
          <t>R12</t>
        </is>
      </c>
      <c r="D58" s="3" t="inlineStr">
        <is>
          <t>Partição: allOf com $ref inexistente</t>
        </is>
      </c>
      <c r="E58" s="3" t="inlineStr">
        <is>
          <t>Dog allOf [Missing, {barks}]</t>
        </is>
      </c>
      <c r="F58" s="3" t="inlineStr">
        <is>
          <t>Sem exceção; barks = true</t>
        </is>
      </c>
      <c r="G58" s="3" t="inlineStr">
        <is>
          <t>Conforme esperado</t>
        </is>
      </c>
      <c r="H58" s="4" t="inlineStr">
        <is>
          <t>PASS</t>
        </is>
      </c>
      <c r="I58" s="3" t="inlineStr"/>
      <c r="J58" s="3" t="inlineStr">
        <is>
          <t>allOfWithDanglingReference</t>
        </is>
      </c>
      <c r="K58" s="3" t="inlineStr">
        <is>
          <t>Models</t>
        </is>
      </c>
      <c r="L58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55" customWidth="1" min="4" max="4"/>
    <col width="40" customWidth="1" min="5" max="5"/>
    <col width="30" customWidth="1" min="6" max="6"/>
    <col width="10" customWidth="1" min="7" max="7"/>
    <col width="14" customWidth="1" min="8" max="8"/>
  </cols>
  <sheetData>
    <row r="1">
      <c r="A1" s="1" t="inlineStr">
        <is>
          <t>Divergências (famílias de defeito)</t>
        </is>
      </c>
    </row>
    <row r="3">
      <c r="A3" s="2" t="inlineStr">
        <is>
          <t>Família</t>
        </is>
      </c>
      <c r="B3" s="2" t="inlineStr">
        <is>
          <t>Casos</t>
        </is>
      </c>
      <c r="C3" s="2" t="inlineStr">
        <is>
          <t>Descrição</t>
        </is>
      </c>
      <c r="D3" s="2" t="inlineStr">
        <is>
          <t>Causa (análise do código)</t>
        </is>
      </c>
      <c r="E3" s="2" t="inlineStr">
        <is>
          <t>Reprodução pela CLI (CTM-EG-01)</t>
        </is>
      </c>
      <c r="F3" s="2" t="inlineStr">
        <is>
          <t>Severidade</t>
        </is>
      </c>
      <c r="G3" s="2" t="inlineStr">
        <is>
          <t>Prioridade</t>
        </is>
      </c>
      <c r="H3" s="2" t="inlineStr">
        <is>
          <t>Issue</t>
        </is>
      </c>
    </row>
    <row r="4">
      <c r="A4" s="3" t="inlineStr">
        <is>
          <t>F1</t>
        </is>
      </c>
      <c r="B4" s="3" t="inlineStr">
        <is>
          <t>CT-EG-24 (integer e number), CT-EG-25</t>
        </is>
      </c>
      <c r="C4" s="3" t="inlineStr">
        <is>
          <t>Valor numérico gerado viola maximum (só maximum, negativo) ou exclusiveMinimum.</t>
        </is>
      </c>
      <c r="D4" s="3" t="inlineStr">
        <is>
          <t>randomNumber(min, max) com só max devolve random.nextDouble() * max, que fica em (max, 0] quando max &lt; 0; exclusiveMinimum/exclusiveMaximum nunca são lidos, e com minimum 0 em integer o valor é truncado para 0.</t>
        </is>
      </c>
      <c r="E4" s="3" t="inlineStr">
        <is>
          <t>Sim, passo 4 (celsius: 0 com maximum -5; level: 0 com minimum 0 exclusivo).</t>
        </is>
      </c>
      <c r="F4" s="3" t="inlineStr">
        <is>
          <t>Média: o exemplo aparece em documentação e em stubs (Spring, WireMock, ASP.NET) e falha na validação do próprio schema.</t>
        </is>
      </c>
      <c r="G4" s="3" t="inlineStr">
        <is>
          <t>Média</t>
        </is>
      </c>
      <c r="H4" s="3" t="inlineStr">
        <is>
          <t>[preencher nº]</t>
        </is>
      </c>
    </row>
    <row r="5">
      <c r="A5" s="3" t="inlineStr">
        <is>
          <t>F2</t>
        </is>
      </c>
      <c r="B5" s="3" t="inlineStr">
        <is>
          <t>CT-EG-29</t>
        </is>
      </c>
      <c r="C5" s="3" t="inlineStr">
        <is>
          <t>Array gerado tem menos itens que minItems.</t>
        </is>
      </c>
      <c r="D5" s="3" t="inlineStr">
        <is>
          <t>O comprimento usa só maxItems (padrão 2, limite 5); minItems nunca é lido.</t>
        </is>
      </c>
      <c r="E5" s="3" t="inlineStr">
        <is>
          <t>Sim, passo 5 (samples: [7, 7] com minItems 3).</t>
        </is>
      </c>
      <c r="F5" s="3" t="inlineStr">
        <is>
          <t>Média</t>
        </is>
      </c>
      <c r="G5" s="3" t="inlineStr">
        <is>
          <t>Média</t>
        </is>
      </c>
      <c r="H5" s="3" t="inlineStr">
        <is>
          <t>[preencher nº]</t>
        </is>
      </c>
    </row>
    <row r="6">
      <c r="A6" s="3" t="inlineStr">
        <is>
          <t>F3</t>
        </is>
      </c>
      <c r="B6" s="3" t="inlineStr">
        <is>
          <t>CT-EG-45</t>
        </is>
      </c>
      <c r="C6" s="3" t="inlineStr">
        <is>
          <t>Schema inline com example objeto (java.util.Map) em generateFromResponseSchema: as chaves do example viram tipos de mídia e cada valor vira um exemplo separado.</t>
        </is>
      </c>
      <c r="D6" s="3" t="inlineStr">
        <is>
          <t>O ramo "primitive type" faz cast do example para Map&lt;String,Object&gt; e chama generate(Map, ...), que interpreta o mapa como {tipo de mídia -&gt; exemplo}.</t>
        </is>
      </c>
      <c r="E6" s="3" t="inlineStr">
        <is>
          <t>Não: o swagger-parser entrega o example como ObjectNode (não Map); afeta uso programático da biblioteca.</t>
        </is>
      </c>
      <c r="F6" s="3" t="inlineStr">
        <is>
          <t>Baixa</t>
        </is>
      </c>
      <c r="G6" s="3" t="inlineStr">
        <is>
          <t>Baixa</t>
        </is>
      </c>
      <c r="H6" s="3" t="inlineStr">
        <is>
          <t>[preencher nº]</t>
        </is>
      </c>
    </row>
    <row r="7">
      <c r="A7" s="3" t="inlineStr">
        <is>
          <t>F4</t>
        </is>
      </c>
      <c r="B7" s="3" t="inlineStr">
        <is>
          <t>CT-EG-48, CT-EG-52</t>
        </is>
      </c>
      <c r="C7" s="3" t="inlineStr">
        <is>
          <t>type: object sem properties gera exemplo com tipo errado: a string "{}" quando é propriedade (CT-EG-48; o mesmo vale para $ref inexistente) e null quando é modelo de nível superior (CT-EG-52).</t>
        </is>
      </c>
      <c r="D7" s="3" t="inlineStr">
        <is>
          <t>resolvePropertyToExample devolve o literal String "{}", que o Json.pretty serializa como string; resolveModelToExample devolve null para modelo sem properties, sem composição e que não é array/enum.</t>
        </is>
      </c>
      <c r="E7" s="3" t="inlineStr">
        <is>
          <t>Propriedade: sim, passo 6 (metadata: "{}"). Modelo de nível superior: não; pela CLI o modelo é "desembrulhado" (unaliasSchema) e a operação fica sem Example data.</t>
        </is>
      </c>
      <c r="F7" s="3" t="inlineStr">
        <is>
          <t>Baixa: exemplo com tipo errado; clientes que fazem parse do exemplo recebem string.</t>
        </is>
      </c>
      <c r="G7" s="3" t="inlineStr">
        <is>
          <t>Baixa</t>
        </is>
      </c>
      <c r="H7" s="3" t="inlineStr">
        <is>
          <t>[preencher nº]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70" customWidth="1" min="3" max="3"/>
  </cols>
  <sheetData>
    <row r="1">
      <c r="A1" s="1" t="inlineStr">
        <is>
          <t>Observações exploratórias (sem oráculo fundamentado; não classificadas como defeito)</t>
        </is>
      </c>
    </row>
    <row r="3">
      <c r="A3" s="2" t="inlineStr">
        <is>
          <t>ID</t>
        </is>
      </c>
      <c r="B3" s="2" t="inlineStr">
        <is>
          <t>Observação</t>
        </is>
      </c>
      <c r="C3" s="2" t="inlineStr">
        <is>
          <t>Por que ficou fora da suíte normativa</t>
        </is>
      </c>
    </row>
    <row r="4">
      <c r="A4" s="3" t="inlineStr">
        <is>
          <t>E1</t>
        </is>
      </c>
      <c r="B4" s="3" t="inlineStr">
        <is>
          <t>resolveModelToExample grava o exemplo gerado no schema de entrada (schema.setExample(values)): o modelo OpenAPI é alterado como efeito colateral, e chamadas seguintes devolvem o exemplo gravado (é o que faz CT-EG-40 passar). Confirmado por execução: example do schema passa de null para {id=1} após generate.</t>
        </is>
      </c>
      <c r="C4" s="3" t="inlineStr">
        <is>
          <t>Nenhuma documentação proíbe a mutação; pode ser cache intencional. Fica como risco para a Entrega 2 (testes de integração).</t>
        </is>
      </c>
    </row>
    <row r="5">
      <c r="A5" s="3" t="inlineStr">
        <is>
          <t>E2</t>
        </is>
      </c>
      <c r="B5" s="3" t="inlineStr">
        <is>
          <t>Strings ignoram minLength, maxLength e pattern: o fallback usa o nome da propriedade (ex.: "status" com maxLength 2).</t>
        </is>
      </c>
      <c r="C5" s="3" t="inlineStr">
        <is>
          <t>O próprio código registra o fallback ("using property name as example"): é uma limitação conhecida (melhoria), não uma regra implementada errada.</t>
        </is>
      </c>
    </row>
    <row r="6">
      <c r="A6" s="3" t="inlineStr">
        <is>
          <t>E3</t>
        </is>
      </c>
      <c r="B6" s="3" t="inlineStr">
        <is>
          <t>oneOf/anyOf sem nenhuma alternativa resolvível gera o exemplo "null" (confirmado por execução em 12/10/2026).</t>
        </is>
      </c>
      <c r="C6" s="3" t="inlineStr">
        <is>
          <t>Não há fonte que diga o que deveria ser gerado nesse caso.</t>
        </is>
      </c>
    </row>
    <row r="7">
      <c r="A7" s="3" t="inlineStr">
        <is>
          <t>E4</t>
        </is>
      </c>
      <c r="B7" s="3" t="inlineStr">
        <is>
          <t>Resposta array sem items em generateFromResponseSchema devolve null (comentário TODO no código).</t>
        </is>
      </c>
      <c r="C7" s="3" t="inlineStr">
        <is>
          <t>O próprio código marca o caso como não tratado (TODO).</t>
        </is>
      </c>
    </row>
    <row r="8">
      <c r="A8" s="3" t="inlineStr">
        <is>
          <t>E5</t>
        </is>
      </c>
      <c r="B8" s="3" t="inlineStr">
        <is>
          <t>multipleOf é ignorado em números gerados.</t>
        </is>
      </c>
      <c r="C8" s="3" t="inlineStr">
        <is>
          <t>Mesmo oráculo de R07, mas deixado para a Entrega 2 para manter o escopo da Entrega 1.</t>
        </is>
      </c>
    </row>
    <row r="9">
      <c r="A9" s="3" t="inlineStr">
        <is>
          <t>E6</t>
        </is>
      </c>
      <c r="B9" s="3" t="inlineStr">
        <is>
          <t>generate(null, mediaTypes, (String) null) — nome de modelo nulo — devolve "Custom MIME type example not yet supported: application/json", mensagem que diz que JSON não é suportado.</t>
        </is>
      </c>
      <c r="C9" s="3" t="inlineStr">
        <is>
          <t>Nenhuma fonte define a saída para modelo nulo; o caso foi projetado para CT-EG-49 e retirado da suíte normativa por falta de oráculo.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2026-10-12T21:36:37Z</dcterms:created>
  <dcterms:modified xmlns:dcterms="http://purl.org/dc/terms/" xmlns:xsi="http://www.w3.org/2001/XMLSchema-instance" xsi:type="dcterms:W3CDTF">2026-10-12T21:52:04Z</dcterms:modified>
</cp:coreProperties>
</file>
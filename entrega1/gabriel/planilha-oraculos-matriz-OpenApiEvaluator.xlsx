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Oráculos" sheetId="2" state="visible" r:id="rId4"/>
    <sheet name="Matriz de casos" sheetId="3" state="visible" r:id="rId5"/>
  </sheets>
  <definedNames>
    <definedName function="false" hidden="true" localSheetId="2" name="_xlnm._FilterDatabase" vbProcedure="false">'Matriz de casos'!$A$4:$L$32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<sst xmlns="http://schemas.openxmlformats.org/spreadsheetml/2006/main" count="401" uniqueCount="250">
  <si>
    <t xml:space="preserve">Resumo e métricas: OpenApiEvaluator</t>
  </si>
  <si>
    <t xml:space="preserve">Execução dos casos</t>
  </si>
  <si>
    <t xml:space="preserve">Casos projetados</t>
  </si>
  <si>
    <t xml:space="preserve">Casos executados</t>
  </si>
  <si>
    <t xml:space="preserve">PASS</t>
  </si>
  <si>
    <t xml:space="preserve">FAIL</t>
  </si>
  <si>
    <t xml:space="preserve">Taxa de execução</t>
  </si>
  <si>
    <t xml:space="preserve">Taxa de aprovação</t>
  </si>
  <si>
    <t xml:space="preserve">Regras (oráculos)</t>
  </si>
  <si>
    <t xml:space="preserve">Regras cobertas por ao menos um caso</t>
  </si>
  <si>
    <t xml:space="preserve">Regras com divergência (FAIL)</t>
  </si>
  <si>
    <t xml:space="preserve">Cobertura JaCoCo: validate(OpenAPI)</t>
  </si>
  <si>
    <t xml:space="preserve">Cobertos</t>
  </si>
  <si>
    <t xml:space="preserve">Total</t>
  </si>
  <si>
    <t xml:space="preserve">% coberto</t>
  </si>
  <si>
    <t xml:space="preserve">Instruções</t>
  </si>
  <si>
    <t xml:space="preserve">100%</t>
  </si>
  <si>
    <t xml:space="preserve">(relatório por método mostra só %)</t>
  </si>
  <si>
    <t xml:space="preserve">Desvios (branches)</t>
  </si>
  <si>
    <t xml:space="preserve">Complexidade ciclomática (JaCoCo)</t>
  </si>
  <si>
    <t xml:space="preserve">Cobertura JaCoCo: classe OpenApiEvaluator</t>
  </si>
  <si>
    <t xml:space="preserve">Linhas</t>
  </si>
  <si>
    <t xml:space="preserve">Métodos (inclui lambdas)</t>
  </si>
  <si>
    <t xml:space="preserve">Fonte das métricas de cobertura: relatório JaCoCo 0.8.12 gerado em 12/10/2026 em modules/openapi-generator/target/site/jacoco/ (jacoco.csv e OpenApiEvaluator.html), executando somente a suíte OpenApiEvaluatorJUnitTest. Valores copiados manualmente do relatório.</t>
  </si>
  <si>
    <t xml:space="preserve">Itens não cobertos: 3 lambdas de regra (ValidationRule.create/warn) que nunca são avaliadas e o ramo "op == null", que readOperationsMap() não produz; ambos são inalcançáveis pela interface pública.</t>
  </si>
  <si>
    <t xml:space="preserve">As métricas de execução (linhas 3–11) são fórmulas sobre as abas "Matriz de casos" e "Oráculos" e se atualizam ao alterar a coluna Status.</t>
  </si>
  <si>
    <t xml:space="preserve">Oráculos: OpenApiEvaluator.validate(OpenAPI)</t>
  </si>
  <si>
    <t xml:space="preserve">Regras usadas como base do resultado esperado. As colunas D–F são calculadas a partir da aba "Matriz de casos". Recomendações são avisos de boas práticas emitidos somente quando a configuração as habilita.</t>
  </si>
  <si>
    <t xml:space="preserve">ID</t>
  </si>
  <si>
    <t xml:space="preserve">Regra (comportamento esperado)</t>
  </si>
  <si>
    <t xml:space="preserve">Fonte / fundamentação</t>
  </si>
  <si>
    <t xml:space="preserve">Nº de casos</t>
  </si>
  <si>
    <t xml:space="preserve">R01</t>
  </si>
  <si>
    <t xml:space="preserve">Especificação nula: validate(null) retorna ValidationResult vazio, sem exceção e sem consultar a configuração.</t>
  </si>
  <si>
    <t xml:space="preserve">Requisito de robustez definido pelo grupo; Javadoc de validate(OpenAPI): "resulting in a instance of ValidationResult".</t>
  </si>
  <si>
    <t xml:space="preserve">R02</t>
  </si>
  <si>
    <t xml:space="preserve">Esquema não utilizado: com a regra ativa, um aviso "Unused model: &lt;nome&gt;" por esquema não referenciado; esquema referenciado ou regra desativada não geram aviso.</t>
  </si>
  <si>
    <t xml:space="preserve">Regra "Unused schema" ("A schema was determined to be unused.") em OpenApiEvaluator; chave openapi.generator.rule.unused-schemas em RuleConfiguration.</t>
  </si>
  <si>
    <t xml:space="preserve">R03</t>
  </si>
  <si>
    <t xml:space="preserve">Chave global (enableRecommendations, que liga ou desliga todas as recomendações): com enableRecommendations = false, nenhuma recomendação é emitida, qualquer que seja o valor das chaves individuais.</t>
  </si>
  <si>
    <t xml:space="preserve">Chave openapi.generator.rule.recommendations (RuleConfiguration); docs/usage.md: validate "optionally providing recommendations" (opção --recommend); Validate.java desliga as recomendações sem --recommend.</t>
  </si>
  <si>
    <t xml:space="preserve">R04</t>
  </si>
  <si>
    <t xml:space="preserve">Default fora do enum: aviso somente se enum não nulo e não vazio, default não nulo e default não pertence ao enum; exige a chave global e a específica ativas.</t>
  </si>
  <si>
    <t xml:space="preserve">Regra "Schema has default value not in enum" e chave openapi.generator.rule.default-not-in-enum; semântica de enum/default do JSON Schema adotado pelo OpenAPI 3.0.</t>
  </si>
  <si>
    <t xml:space="preserve">R05</t>
  </si>
  <si>
    <t xml:space="preserve">R04 também vale para esquemas inline em request bodies e respostas de operações.</t>
  </si>
  <si>
    <t xml:space="preserve">Comentário em OpenApiEvaluator: "Uses getAllSchemasInDocument to also cover inline schemas in path operations".</t>
  </si>
  <si>
    <t xml:space="preserve">R06</t>
  </si>
  <si>
    <t xml:space="preserve">A pertinência do default ao enum é avaliada por valor: números matematicamente iguais (1.5 e 1.50) são iguais.</t>
  </si>
  <si>
    <t xml:space="preserve">JSON Schema (igualdade de instâncias): dois números são iguais se têm o mesmo valor matemático.</t>
  </si>
  <si>
    <t xml:space="preserve">R07</t>
  </si>
  <si>
    <t xml:space="preserve">Parâmetros do path item, da operação e de components/parameters são validados; header com "_" gera aviso; parâmetro de query com "_" não gera.</t>
  </si>
  <si>
    <t xml:space="preserve">Comentários em OpenApiEvaluator ("parameters defined globally" / "on each operation method"); ValidationConstants.ApacheNginxUnderscore*; Javadoc de apacheNginxHeaderCheck (trata apenas HeaderParameter).</t>
  </si>
  <si>
    <t xml:space="preserve">R08</t>
  </si>
  <si>
    <t xml:space="preserve">Parâmetro com $ref é resolvido para a definição em components antes de ser validado.</t>
  </si>
  <si>
    <t xml:space="preserve">Especificação OpenAPI 3.0 (Reference Object); uso de ModelUtils.getReferencedParameter em validate.</t>
  </si>
  <si>
    <t xml:space="preserve">R09</t>
  </si>
  <si>
    <t xml:space="preserve">Cada operação não nula é validada; GET/HEAD com request body gera aviso de anti-pattern; POST com body não gera.</t>
  </si>
  <si>
    <t xml:space="preserve">Javadoc de OpenApiOperationValidations.checkAntipatternGetOrHeadWithBody; RFC 7231 §4.3.1.</t>
  </si>
  <si>
    <t xml:space="preserve">R10</t>
  </si>
  <si>
    <t xml:space="preserve">Cada security scheme é validado; apiKey em header com "_" gera aviso; mapa vazio ou ausente não gera.</t>
  </si>
  <si>
    <t xml:space="preserve">Javadoc de OpenApiSecuritySchemeValidations.apacheNginxHeaderCheck.</t>
  </si>
  <si>
    <t xml:space="preserve">R11</t>
  </si>
  <si>
    <t xml:space="preserve">Tags: um único aviso "Duplicated tag(s): ..." quando há nomes repetidos, citando cada nome duplicado uma vez; 0, 1 ou tags distintas não geram aviso.</t>
  </si>
  <si>
    <t xml:space="preserve">Especificação OpenAPI 3.0.x, campo tags: "Each tag name in the list MUST be unique" (citado no código).</t>
  </si>
  <si>
    <t xml:space="preserve">R12</t>
  </si>
  <si>
    <t xml:space="preserve">Seções ausentes (paths, components, tags) não causam exceção; o resultado agrega os avisos de todas as validações.</t>
  </si>
  <si>
    <t xml:space="preserve">Javadoc de validate(OpenAPI): "details on all validations performed (success, error, warning)".</t>
  </si>
  <si>
    <t xml:space="preserve">Matriz de casos: OpenApiEvaluatorJUnitTest (JUnit 5 + Mockito)</t>
  </si>
  <si>
    <t xml:space="preserve">Executada em 12/10/2026 via Maven (Surefire 3.2.5), commit ef964b04480889ef86b56cfae84ade8ad4c91c41. Coluna K: issues abertas no repositório oficial do OpenAPI Generator.</t>
  </si>
  <si>
    <t xml:space="preserve">Grupo</t>
  </si>
  <si>
    <t xml:space="preserve">Regra</t>
  </si>
  <si>
    <t xml:space="preserve">Técnica</t>
  </si>
  <si>
    <t xml:space="preserve">Dublê (Mockito)</t>
  </si>
  <si>
    <t xml:space="preserve">Configuração</t>
  </si>
  <si>
    <t xml:space="preserve">Entrada</t>
  </si>
  <si>
    <t xml:space="preserve">Resultado esperado</t>
  </si>
  <si>
    <t xml:space="preserve">Resultado obtido</t>
  </si>
  <si>
    <t xml:space="preserve">Status</t>
  </si>
  <si>
    <t xml:space="preserve">Issue</t>
  </si>
  <si>
    <t xml:space="preserve">Método JUnit</t>
  </si>
  <si>
    <t xml:space="preserve">CT-OE-01</t>
  </si>
  <si>
    <t xml:space="preserve">Entrada e configuração</t>
  </si>
  <si>
    <t xml:space="preserve">Partição: entrada inválida (nula)</t>
  </si>
  <si>
    <t xml:space="preserve">Mock RuleConfiguration (verifyNoInteractions)</t>
  </si>
  <si>
    <t xml:space="preserve">Configuração mockada sem stubs</t>
  </si>
  <si>
    <t xml:space="preserve">validate(null)</t>
  </si>
  <si>
    <t xml:space="preserve">ValidationResult vazio; nenhuma consulta à configuração</t>
  </si>
  <si>
    <t xml:space="preserve">Resultado vazio; nenhuma interação com o mock</t>
  </si>
  <si>
    <t xml:space="preserve">ct01NullSpecificationReturnsEmptyResult</t>
  </si>
  <si>
    <t xml:space="preserve">CT-OE-02</t>
  </si>
  <si>
    <t xml:space="preserve">Partição: especificação válida mínima</t>
  </si>
  <si>
    <t xml:space="preserve">Nenhum (RuleConfiguration real)</t>
  </si>
  <si>
    <t xml:space="preserve">Todas as regras ativas (enableRecommendations = true)</t>
  </si>
  <si>
    <t xml:space="preserve">OpenAPI 3.0.1 sem paths, components e tags</t>
  </si>
  <si>
    <t xml:space="preserve">Sem exceção; 0 erros e 0 avisos</t>
  </si>
  <si>
    <t xml:space="preserve">ct02EmptySpecificationWithAllRulesEnabled</t>
  </si>
  <si>
    <t xml:space="preserve">CT-OE-03</t>
  </si>
  <si>
    <t xml:space="preserve">Partição: seções ausentes</t>
  </si>
  <si>
    <t xml:space="preserve">Mock OpenAPI (getters nulos) + Mock RuleConfiguration; verify(atLeastOnce)</t>
  </si>
  <si>
    <t xml:space="preserve">Todas as chaves = true</t>
  </si>
  <si>
    <t xml:space="preserve">OpenAPI mockado: getPaths/getComponents/getTags = null</t>
  </si>
  <si>
    <t xml:space="preserve">Sem exceção; resultado vazio; paths, components e tags consultados</t>
  </si>
  <si>
    <t xml:space="preserve">Sem exceção; resultado vazio; getters consultados</t>
  </si>
  <si>
    <t xml:space="preserve">ct03MockedSpecificationWithoutSectionsIsHandled</t>
  </si>
  <si>
    <t xml:space="preserve">CT-OE-04</t>
  </si>
  <si>
    <t xml:space="preserve">Esquemas não utilizados</t>
  </si>
  <si>
    <t xml:space="preserve">Partição: esquema não referenciado</t>
  </si>
  <si>
    <t xml:space="preserve">Mock RuleConfiguration</t>
  </si>
  <si>
    <t xml:space="preserve">recommendations = true; unused-schemas = true</t>
  </si>
  <si>
    <t xml:space="preserve">components/schemas: Orphan (não referenciado)</t>
  </si>
  <si>
    <t xml:space="preserve">1 aviso "Unused model: Orphan"</t>
  </si>
  <si>
    <t xml:space="preserve">ct04UnusedSchemaIsReported</t>
  </si>
  <si>
    <t xml:space="preserve">CT-OE-05</t>
  </si>
  <si>
    <t xml:space="preserve">Partição: esquema referenciado</t>
  </si>
  <si>
    <t xml:space="preserve">Pet referenciado via $ref na resposta 200 de GET /pets</t>
  </si>
  <si>
    <t xml:space="preserve">Nenhum aviso "Unused model"</t>
  </si>
  <si>
    <t xml:space="preserve">Nenhum aviso</t>
  </si>
  <si>
    <t xml:space="preserve">ct05ReferencedSchemaIsNotReported</t>
  </si>
  <si>
    <t xml:space="preserve">CT-OE-06</t>
  </si>
  <si>
    <t xml:space="preserve">Partição: regra individual desativada</t>
  </si>
  <si>
    <t xml:space="preserve">Mock RuleConfiguration (verify da chave consultada)</t>
  </si>
  <si>
    <t xml:space="preserve">recommendations = true; unused-schemas = false</t>
  </si>
  <si>
    <t xml:space="preserve">Orphan (não referenciado)</t>
  </si>
  <si>
    <t xml:space="preserve">Nenhum aviso; chave unused-schemas consultada</t>
  </si>
  <si>
    <t xml:space="preserve">Nenhum aviso; chave consultada</t>
  </si>
  <si>
    <t xml:space="preserve">ct06UnusedSchemaRuleDisabled</t>
  </si>
  <si>
    <t xml:space="preserve">CT-OE-07</t>
  </si>
  <si>
    <t xml:space="preserve">Partição: chave global desativada</t>
  </si>
  <si>
    <t xml:space="preserve">recommendations = false; unused-schemas = true</t>
  </si>
  <si>
    <t xml:space="preserve">Nenhum aviso (recomendações desligadas)</t>
  </si>
  <si>
    <t xml:space="preserve">#25232</t>
  </si>
  <si>
    <t xml:space="preserve">ct07GlobalRecommendationsOffSuppressUnusedSchema</t>
  </si>
  <si>
    <t xml:space="preserve">CT-OE-08</t>
  </si>
  <si>
    <t xml:space="preserve">Default fora do enum</t>
  </si>
  <si>
    <t xml:space="preserve">Partição: default fora do enum</t>
  </si>
  <si>
    <t xml:space="preserve">recommendations = true; default-not-in-enum = true</t>
  </si>
  <si>
    <t xml:space="preserve">enum [udp, tcp]; default "http"</t>
  </si>
  <si>
    <t xml:space="preserve">1 aviso contendo 'http' e [udp, tcp]</t>
  </si>
  <si>
    <t xml:space="preserve">1 aviso "Schema has default value 'http' not in enum [udp, tcp]"</t>
  </si>
  <si>
    <t xml:space="preserve">ct08DefaultNotInEnumIsReported</t>
  </si>
  <si>
    <t xml:space="preserve">CT-OE-09</t>
  </si>
  <si>
    <t xml:space="preserve">Partição: default no enum</t>
  </si>
  <si>
    <t xml:space="preserve">enum [udp, tcp]; default "tcp"</t>
  </si>
  <si>
    <t xml:space="preserve">ct09DefaultInEnum</t>
  </si>
  <si>
    <t xml:space="preserve">CT-OE-10</t>
  </si>
  <si>
    <t xml:space="preserve">Valor-limite: enum vazio</t>
  </si>
  <si>
    <t xml:space="preserve">enum []; default "http"</t>
  </si>
  <si>
    <t xml:space="preserve">ct10EmptyEnum</t>
  </si>
  <si>
    <t xml:space="preserve">CT-OE-11</t>
  </si>
  <si>
    <t xml:space="preserve">Valor-limite: default nulo</t>
  </si>
  <si>
    <t xml:space="preserve">enum [udp]; default null</t>
  </si>
  <si>
    <t xml:space="preserve">ct11NullDefault</t>
  </si>
  <si>
    <t xml:space="preserve">CT-OE-12</t>
  </si>
  <si>
    <t xml:space="preserve">Mock RuleConfiguration (verify never)</t>
  </si>
  <si>
    <t xml:space="preserve">recommendations = false; default-not-in-enum = true</t>
  </si>
  <si>
    <t xml:space="preserve">enum [udp]; default "http"</t>
  </si>
  <si>
    <t xml:space="preserve">Nenhum aviso; chave default-not-in-enum não consultada</t>
  </si>
  <si>
    <t xml:space="preserve">Nenhum aviso; chave não consultada</t>
  </si>
  <si>
    <t xml:space="preserve">ct12DefaultNotInEnumWithRecommendationsOff</t>
  </si>
  <si>
    <t xml:space="preserve">CT-OE-13</t>
  </si>
  <si>
    <t xml:space="preserve">Partição: esquema inline em operação</t>
  </si>
  <si>
    <t xml:space="preserve">POST /items com body inline: enum [udp, tcp], default "http"</t>
  </si>
  <si>
    <t xml:space="preserve">1 aviso contendo 'http'</t>
  </si>
  <si>
    <t xml:space="preserve">ct13DefaultNotInEnumInlineRequestBody</t>
  </si>
  <si>
    <t xml:space="preserve">CT-OE-14</t>
  </si>
  <si>
    <t xml:space="preserve">Partição: número igual com escala diferente</t>
  </si>
  <si>
    <t xml:space="preserve">NumberSchema: enum [1.5]; default 1.50 (BigDecimal)</t>
  </si>
  <si>
    <t xml:space="preserve">Nenhum aviso (1.50 = 1.5)</t>
  </si>
  <si>
    <t xml:space="preserve">1 aviso "Schema has default value '1.50' not in enum [1.5]"</t>
  </si>
  <si>
    <t xml:space="preserve">#25233</t>
  </si>
  <si>
    <t xml:space="preserve">ct14NumericDefaultComparedByValue</t>
  </si>
  <si>
    <t xml:space="preserve">CT-OE-15</t>
  </si>
  <si>
    <t xml:space="preserve">Parâmetros</t>
  </si>
  <si>
    <t xml:space="preserve">Partição: header na operação</t>
  </si>
  <si>
    <t xml:space="preserve">recommendations = true; apache-nginx-underscore = true</t>
  </si>
  <si>
    <t xml:space="preserve">GET /items com header X_Token</t>
  </si>
  <si>
    <t xml:space="preserve">1 aviso "X_Token contains an underscore."</t>
  </si>
  <si>
    <t xml:space="preserve">1 aviso</t>
  </si>
  <si>
    <t xml:space="preserve">ct15UnderscoreHeaderOnOperation</t>
  </si>
  <si>
    <t xml:space="preserve">CT-OE-16</t>
  </si>
  <si>
    <t xml:space="preserve">Partição: header no path item</t>
  </si>
  <si>
    <t xml:space="preserve">Path item /items com header X_Token</t>
  </si>
  <si>
    <t xml:space="preserve">ct16UnderscoreHeaderOnPathItem</t>
  </si>
  <si>
    <t xml:space="preserve">CT-OE-17</t>
  </si>
  <si>
    <t xml:space="preserve">Partição: header em components</t>
  </si>
  <si>
    <t xml:space="preserve">components/parameters: TokenHeader (X_Token)</t>
  </si>
  <si>
    <t xml:space="preserve">ct17UnderscoreHeaderInComponents</t>
  </si>
  <si>
    <t xml:space="preserve">CT-OE-18</t>
  </si>
  <si>
    <t xml:space="preserve">Partição: parâmetro por $ref</t>
  </si>
  <si>
    <t xml:space="preserve">GET /items com $ref para components/parameters/TokenHeader (X_Token)</t>
  </si>
  <si>
    <t xml:space="preserve">2 avisos para X_Token (o $ref resolvido na operação e a definição em components)</t>
  </si>
  <si>
    <t xml:space="preserve">2 avisos</t>
  </si>
  <si>
    <t xml:space="preserve">ct18ReferencedParameterIsResolved</t>
  </si>
  <si>
    <t xml:space="preserve">CT-OE-19</t>
  </si>
  <si>
    <t xml:space="preserve">Partição: parâmetro fora de header</t>
  </si>
  <si>
    <t xml:space="preserve">GET /items com query page_size</t>
  </si>
  <si>
    <t xml:space="preserve">ct19UnderscoreQueryParameterIgnored</t>
  </si>
  <si>
    <t xml:space="preserve">CT-OE-20</t>
  </si>
  <si>
    <t xml:space="preserve">Operações</t>
  </si>
  <si>
    <t xml:space="preserve">Partição: GET com body</t>
  </si>
  <si>
    <t xml:space="preserve">recommendations = true; uri-unexpected-body = true</t>
  </si>
  <si>
    <t xml:space="preserve">GET /search (operationId search) com request body</t>
  </si>
  <si>
    <t xml:space="preserve">1 aviso de anti-pattern com detalhe "GET search ..."</t>
  </si>
  <si>
    <t xml:space="preserve">1 aviso de anti-pattern</t>
  </si>
  <si>
    <t xml:space="preserve">ct20GetWithBodyIsReported</t>
  </si>
  <si>
    <t xml:space="preserve">CT-OE-21</t>
  </si>
  <si>
    <t xml:space="preserve">Partição: POST com body</t>
  </si>
  <si>
    <t xml:space="preserve">POST /items com request body</t>
  </si>
  <si>
    <t xml:space="preserve">ct21PostWithBodyIsAccepted</t>
  </si>
  <si>
    <t xml:space="preserve">CT-OE-22</t>
  </si>
  <si>
    <t xml:space="preserve">Security schemes</t>
  </si>
  <si>
    <t xml:space="preserve">Partição: apiKey em header com "_"</t>
  </si>
  <si>
    <t xml:space="preserve">apiKey in header, name api_key</t>
  </si>
  <si>
    <t xml:space="preserve">1 aviso "api_key contains an underscore."</t>
  </si>
  <si>
    <t xml:space="preserve">ct22UnderscoreApiKeyHeader</t>
  </si>
  <si>
    <t xml:space="preserve">CT-OE-23</t>
  </si>
  <si>
    <t xml:space="preserve">Valor-limite: mapa vazio</t>
  </si>
  <si>
    <t xml:space="preserve">components.securitySchemes = {}</t>
  </si>
  <si>
    <t xml:space="preserve">Nenhum resultado</t>
  </si>
  <si>
    <t xml:space="preserve">ct23EmptySecuritySchemes</t>
  </si>
  <si>
    <t xml:space="preserve">CT-OE-24</t>
  </si>
  <si>
    <t xml:space="preserve">Tags</t>
  </si>
  <si>
    <t xml:space="preserve">Valor-limite: tags nulas e lista vazia</t>
  </si>
  <si>
    <t xml:space="preserve">Nenhuma regra opcional ativa</t>
  </si>
  <si>
    <t xml:space="preserve">tags = null; tags = []</t>
  </si>
  <si>
    <t xml:space="preserve">Nenhum aviso de tags duplicadas</t>
  </si>
  <si>
    <t xml:space="preserve">ct24NullOrEmptyTags</t>
  </si>
  <si>
    <t xml:space="preserve">CT-OE-25</t>
  </si>
  <si>
    <t xml:space="preserve">Valor-limite: uma tag</t>
  </si>
  <si>
    <t xml:space="preserve">tags = [pet]</t>
  </si>
  <si>
    <t xml:space="preserve">ct25SingleTag</t>
  </si>
  <si>
    <t xml:space="preserve">CT-OE-26</t>
  </si>
  <si>
    <t xml:space="preserve">Partição: tags distintas</t>
  </si>
  <si>
    <t xml:space="preserve">tags = [pet, store]</t>
  </si>
  <si>
    <t xml:space="preserve">ct26DistinctTags</t>
  </si>
  <si>
    <t xml:space="preserve">CT-OE-27</t>
  </si>
  <si>
    <t xml:space="preserve">Partição: tags repetidas</t>
  </si>
  <si>
    <t xml:space="preserve">tags = [pet, pet, pet, store, store]</t>
  </si>
  <si>
    <t xml:space="preserve">1 único aviso citando pet e store, uma vez cada</t>
  </si>
  <si>
    <t xml:space="preserve">1 aviso "Duplicated tag(s): ..." com pet e store</t>
  </si>
  <si>
    <t xml:space="preserve">ct27DuplicatedTags</t>
  </si>
  <si>
    <t xml:space="preserve">CT-OE-28</t>
  </si>
  <si>
    <t xml:space="preserve">Agregação</t>
  </si>
  <si>
    <t xml:space="preserve">Combinação de violações</t>
  </si>
  <si>
    <t xml:space="preserve">recommendations = true; unused-schemas = true; uri-unexpected-body = true</t>
  </si>
  <si>
    <t xml:space="preserve">Orphan não usado + GET /search com body + tags [pet, pet]</t>
  </si>
  <si>
    <t xml:space="preserve">3 avisos (Unused model, anti-pattern, Duplicated tag(s): pet) e 0 erros</t>
  </si>
  <si>
    <t xml:space="preserve">3 avisos e 0 erros</t>
  </si>
  <si>
    <t xml:space="preserve">ct28ResultsAreAggregated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</si>
</sst>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github.com/OpenAPITools/openapi-generator/issues/25232" TargetMode="External"/><Relationship Id="rId2" Type="http://schemas.openxmlformats.org/officeDocument/2006/relationships/hyperlink" Target="https://github.com/OpenAPITools/openapi-generator/issues/25233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3" min="3" style="1" width="34"/>
    <col collapsed="false" customWidth="true" hidden="false" outlineLevel="0" max="4" min="4" style="1" width="12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3" customFormat="false" ht="15" hidden="false" customHeight="true" outlineLevel="0" collapsed="false">
      <c r="A3" s="4" t="s">
        <v>2</v>
      </c>
      <c r="B3" s="4" t="n">
        <f aca="false">COUNTA('Matriz de casos'!A5:A32)</f>
        <v>28</v>
      </c>
      <c r="C3" s="4"/>
      <c r="D3" s="4"/>
    </row>
    <row r="4" customFormat="false" ht="15" hidden="false" customHeight="true" outlineLevel="0" collapsed="false">
      <c r="A4" s="4" t="s">
        <v>3</v>
      </c>
      <c r="B4" s="4" t="n">
        <f aca="false">COUNTIF('Matriz de casos'!J5:J32,"PASS")+COUNTIF('Matriz de casos'!J5:J32,"FAIL")</f>
        <v>28</v>
      </c>
      <c r="C4" s="4"/>
      <c r="D4" s="4"/>
    </row>
    <row r="5" customFormat="false" ht="15" hidden="false" customHeight="true" outlineLevel="0" collapsed="false">
      <c r="A5" s="4" t="s">
        <v>4</v>
      </c>
      <c r="B5" s="4" t="n">
        <f aca="false">COUNTIF('Matriz de casos'!J5:J32,"PASS")</f>
        <v>26</v>
      </c>
      <c r="C5" s="4"/>
      <c r="D5" s="4"/>
    </row>
    <row r="6" customFormat="false" ht="15" hidden="false" customHeight="true" outlineLevel="0" collapsed="false">
      <c r="A6" s="4" t="s">
        <v>5</v>
      </c>
      <c r="B6" s="4" t="n">
        <f aca="false">COUNTIF('Matriz de casos'!J5:J32,"FAIL")</f>
        <v>2</v>
      </c>
      <c r="C6" s="4"/>
      <c r="D6" s="4"/>
    </row>
    <row r="7" customFormat="false" ht="15" hidden="false" customHeight="true" outlineLevel="0" collapsed="false">
      <c r="A7" s="4" t="s">
        <v>6</v>
      </c>
      <c r="B7" s="5" t="n">
        <f aca="false">IF(B3=0,0,B4/B3)</f>
        <v>1</v>
      </c>
      <c r="C7" s="4"/>
      <c r="D7" s="4"/>
    </row>
    <row r="8" customFormat="false" ht="15" hidden="false" customHeight="true" outlineLevel="0" collapsed="false">
      <c r="A8" s="4" t="s">
        <v>7</v>
      </c>
      <c r="B8" s="5" t="n">
        <f aca="false">IF(B4=0,0,B5/B4)</f>
        <v>0.928571428571429</v>
      </c>
      <c r="C8" s="4"/>
      <c r="D8" s="4"/>
    </row>
    <row r="9" customFormat="false" ht="15" hidden="false" customHeight="true" outlineLevel="0" collapsed="false">
      <c r="A9" s="4" t="s">
        <v>8</v>
      </c>
      <c r="B9" s="4" t="n">
        <f aca="false">COUNTA(Oráculos!A5:A16)</f>
        <v>12</v>
      </c>
      <c r="C9" s="4"/>
      <c r="D9" s="4"/>
    </row>
    <row r="10" customFormat="false" ht="15" hidden="false" customHeight="true" outlineLevel="0" collapsed="false">
      <c r="A10" s="4" t="s">
        <v>9</v>
      </c>
      <c r="B10" s="4" t="n">
        <f aca="false">COUNTIF(Oráculos!D5:D16,"&gt;0")</f>
        <v>12</v>
      </c>
      <c r="C10" s="4"/>
      <c r="D10" s="4"/>
    </row>
    <row r="11" customFormat="false" ht="15" hidden="false" customHeight="true" outlineLevel="0" collapsed="false">
      <c r="A11" s="4" t="s">
        <v>10</v>
      </c>
      <c r="B11" s="4" t="n">
        <f aca="false">COUNTIF(Oráculos!F5:F16,"&gt;0")</f>
        <v>2</v>
      </c>
      <c r="C11" s="4"/>
      <c r="D11" s="4"/>
    </row>
    <row r="12" customFormat="false" ht="15" hidden="false" customHeight="true" outlineLevel="0" collapsed="false">
      <c r="A12" s="4"/>
      <c r="B12" s="4"/>
      <c r="C12" s="4"/>
      <c r="D12" s="4"/>
    </row>
    <row r="13" customFormat="false" ht="15" hidden="false" customHeight="true" outlineLevel="0" collapsed="false">
      <c r="A13" s="6" t="s">
        <v>11</v>
      </c>
      <c r="B13" s="6" t="s">
        <v>12</v>
      </c>
      <c r="C13" s="6" t="s">
        <v>13</v>
      </c>
      <c r="D13" s="6" t="s">
        <v>14</v>
      </c>
    </row>
    <row r="14" customFormat="false" ht="15" hidden="false" customHeight="true" outlineLevel="0" collapsed="false">
      <c r="A14" s="4" t="s">
        <v>15</v>
      </c>
      <c r="B14" s="4" t="s">
        <v>16</v>
      </c>
      <c r="C14" s="4" t="s">
        <v>17</v>
      </c>
      <c r="D14" s="4"/>
    </row>
    <row r="15" customFormat="false" ht="15" hidden="false" customHeight="true" outlineLevel="0" collapsed="false">
      <c r="A15" s="4" t="s">
        <v>18</v>
      </c>
      <c r="B15" s="4" t="s">
        <v>16</v>
      </c>
      <c r="C15" s="4" t="s">
        <v>17</v>
      </c>
      <c r="D15" s="4"/>
    </row>
    <row r="16" customFormat="false" ht="15" hidden="false" customHeight="true" outlineLevel="0" collapsed="false">
      <c r="A16" s="4" t="s">
        <v>19</v>
      </c>
      <c r="B16" s="4" t="n">
        <v>18</v>
      </c>
      <c r="C16" s="4" t="n">
        <v>18</v>
      </c>
      <c r="D16" s="5" t="n">
        <f aca="false">IF(C16=0,0,B16/C16)</f>
        <v>1</v>
      </c>
    </row>
    <row r="17" customFormat="false" ht="15" hidden="false" customHeight="true" outlineLevel="0" collapsed="false">
      <c r="A17" s="4"/>
      <c r="B17" s="4"/>
      <c r="C17" s="4"/>
      <c r="D17" s="4"/>
    </row>
    <row r="18" customFormat="false" ht="15" hidden="false" customHeight="true" outlineLevel="0" collapsed="false">
      <c r="A18" s="6" t="s">
        <v>20</v>
      </c>
      <c r="B18" s="6" t="s">
        <v>12</v>
      </c>
      <c r="C18" s="6" t="s">
        <v>13</v>
      </c>
      <c r="D18" s="6" t="s">
        <v>14</v>
      </c>
    </row>
    <row r="19" customFormat="false" ht="15" hidden="false" customHeight="true" outlineLevel="0" collapsed="false">
      <c r="A19" s="4" t="s">
        <v>15</v>
      </c>
      <c r="B19" s="4" t="n">
        <v>319</v>
      </c>
      <c r="C19" s="4" t="n">
        <v>325</v>
      </c>
      <c r="D19" s="5" t="n">
        <f aca="false">IF(C19=0,0,B19/C19)</f>
        <v>0.981538461538462</v>
      </c>
    </row>
    <row r="20" customFormat="false" ht="15" hidden="false" customHeight="true" outlineLevel="0" collapsed="false">
      <c r="A20" s="4" t="s">
        <v>18</v>
      </c>
      <c r="B20" s="4" t="n">
        <v>41</v>
      </c>
      <c r="C20" s="4" t="n">
        <v>42</v>
      </c>
      <c r="D20" s="5" t="n">
        <f aca="false">IF(C20=0,0,B20/C20)</f>
        <v>0.976190476190476</v>
      </c>
    </row>
    <row r="21" customFormat="false" ht="15" hidden="false" customHeight="true" outlineLevel="0" collapsed="false">
      <c r="A21" s="4" t="s">
        <v>21</v>
      </c>
      <c r="B21" s="4" t="n">
        <v>69</v>
      </c>
      <c r="C21" s="4" t="n">
        <v>70</v>
      </c>
      <c r="D21" s="5" t="n">
        <f aca="false">IF(C21=0,0,B21/C21)</f>
        <v>0.985714285714286</v>
      </c>
    </row>
    <row r="22" customFormat="false" ht="15" hidden="false" customHeight="true" outlineLevel="0" collapsed="false">
      <c r="A22" s="4" t="s">
        <v>22</v>
      </c>
      <c r="B22" s="4" t="n">
        <v>9</v>
      </c>
      <c r="C22" s="4" t="n">
        <v>12</v>
      </c>
      <c r="D22" s="5" t="n">
        <f aca="false">IF(C22=0,0,B22/C22)</f>
        <v>0.75</v>
      </c>
    </row>
    <row r="25" customFormat="false" ht="39.75" hidden="false" customHeight="true" outlineLevel="0" collapsed="false">
      <c r="A25" s="7" t="s">
        <v>23</v>
      </c>
      <c r="B25" s="7"/>
      <c r="C25" s="7"/>
      <c r="D25" s="7"/>
    </row>
    <row r="26" customFormat="false" ht="39.75" hidden="false" customHeight="true" outlineLevel="0" collapsed="false">
      <c r="A26" s="7" t="s">
        <v>24</v>
      </c>
      <c r="B26" s="7"/>
      <c r="C26" s="7"/>
      <c r="D26" s="7"/>
    </row>
    <row r="27" customFormat="false" ht="39.75" hidden="false" customHeight="true" outlineLevel="0" collapsed="false">
      <c r="A27" s="7" t="s">
        <v>25</v>
      </c>
      <c r="B27" s="7"/>
      <c r="C27" s="7"/>
      <c r="D27" s="7"/>
    </row>
  </sheetData>
  <mergeCells count="3">
    <mergeCell ref="A25:D25"/>
    <mergeCell ref="A26:D26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70"/>
    <col collapsed="false" customWidth="true" hidden="false" outlineLevel="0" max="4" min="4" style="1" width="11"/>
    <col collapsed="false" customWidth="true" hidden="false" outlineLevel="0" max="6" min="5" style="1" width="9"/>
  </cols>
  <sheetData>
    <row r="1" customFormat="false" ht="15.75" hidden="false" customHeight="true" outlineLevel="0" collapsed="false">
      <c r="A1" s="2" t="s">
        <v>26</v>
      </c>
    </row>
    <row r="2" customFormat="false" ht="15" hidden="false" customHeight="true" outlineLevel="0" collapsed="false">
      <c r="A2" s="8" t="s">
        <v>27</v>
      </c>
    </row>
    <row r="4" customFormat="false" ht="15" hidden="false" customHeight="true" outlineLevel="0" collapsed="false">
      <c r="A4" s="9" t="s">
        <v>28</v>
      </c>
      <c r="B4" s="9" t="s">
        <v>29</v>
      </c>
      <c r="C4" s="9" t="s">
        <v>30</v>
      </c>
      <c r="D4" s="9" t="s">
        <v>31</v>
      </c>
      <c r="E4" s="9" t="s">
        <v>4</v>
      </c>
      <c r="F4" s="9" t="s">
        <v>5</v>
      </c>
    </row>
    <row r="5" customFormat="false" ht="23.25" hidden="false" customHeight="true" outlineLevel="0" collapsed="false">
      <c r="A5" s="10" t="s">
        <v>32</v>
      </c>
      <c r="B5" s="10" t="s">
        <v>33</v>
      </c>
      <c r="C5" s="10" t="s">
        <v>34</v>
      </c>
      <c r="D5" s="11" t="n">
        <f aca="false">COUNTIF('Matriz de casos'!$C:$C,A5)</f>
        <v>1</v>
      </c>
      <c r="E5" s="11" t="n">
        <f aca="false">COUNTIFS('Matriz de casos'!$C:$C,A5,'Matriz de casos'!$J:$J,"PASS")</f>
        <v>1</v>
      </c>
      <c r="F5" s="11" t="n">
        <f aca="false">COUNTIFS('Matriz de casos'!$C:$C,A5,'Matriz de casos'!$J:$J,"FAIL")</f>
        <v>0</v>
      </c>
    </row>
    <row r="6" customFormat="false" ht="34.5" hidden="false" customHeight="true" outlineLevel="0" collapsed="false">
      <c r="A6" s="10" t="s">
        <v>35</v>
      </c>
      <c r="B6" s="10" t="s">
        <v>36</v>
      </c>
      <c r="C6" s="10" t="s">
        <v>37</v>
      </c>
      <c r="D6" s="11" t="n">
        <f aca="false">COUNTIF('Matriz de casos'!$C:$C,A6)</f>
        <v>3</v>
      </c>
      <c r="E6" s="11" t="n">
        <f aca="false">COUNTIFS('Matriz de casos'!$C:$C,A6,'Matriz de casos'!$J:$J,"PASS")</f>
        <v>3</v>
      </c>
      <c r="F6" s="11" t="n">
        <f aca="false">COUNTIFS('Matriz de casos'!$C:$C,A6,'Matriz de casos'!$J:$J,"FAIL")</f>
        <v>0</v>
      </c>
    </row>
    <row r="7" customFormat="false" ht="34.5" hidden="false" customHeight="true" outlineLevel="0" collapsed="false">
      <c r="A7" s="10" t="s">
        <v>38</v>
      </c>
      <c r="B7" s="10" t="s">
        <v>39</v>
      </c>
      <c r="C7" s="10" t="s">
        <v>40</v>
      </c>
      <c r="D7" s="11" t="n">
        <f aca="false">COUNTIF('Matriz de casos'!$C:$C,A7)</f>
        <v>1</v>
      </c>
      <c r="E7" s="11" t="n">
        <f aca="false">COUNTIFS('Matriz de casos'!$C:$C,A7,'Matriz de casos'!$J:$J,"PASS")</f>
        <v>0</v>
      </c>
      <c r="F7" s="11" t="n">
        <f aca="false">COUNTIFS('Matriz de casos'!$C:$C,A7,'Matriz de casos'!$J:$J,"FAIL")</f>
        <v>1</v>
      </c>
    </row>
    <row r="8" customFormat="false" ht="34.5" hidden="false" customHeight="true" outlineLevel="0" collapsed="false">
      <c r="A8" s="10" t="s">
        <v>41</v>
      </c>
      <c r="B8" s="10" t="s">
        <v>42</v>
      </c>
      <c r="C8" s="10" t="s">
        <v>43</v>
      </c>
      <c r="D8" s="11" t="n">
        <f aca="false">COUNTIF('Matriz de casos'!$C:$C,A8)</f>
        <v>5</v>
      </c>
      <c r="E8" s="11" t="n">
        <f aca="false">COUNTIFS('Matriz de casos'!$C:$C,A8,'Matriz de casos'!$J:$J,"PASS")</f>
        <v>5</v>
      </c>
      <c r="F8" s="11" t="n">
        <f aca="false">COUNTIFS('Matriz de casos'!$C:$C,A8,'Matriz de casos'!$J:$J,"FAIL")</f>
        <v>0</v>
      </c>
    </row>
    <row r="9" customFormat="false" ht="23.25" hidden="false" customHeight="true" outlineLevel="0" collapsed="false">
      <c r="A9" s="10" t="s">
        <v>44</v>
      </c>
      <c r="B9" s="10" t="s">
        <v>45</v>
      </c>
      <c r="C9" s="10" t="s">
        <v>46</v>
      </c>
      <c r="D9" s="11" t="n">
        <f aca="false">COUNTIF('Matriz de casos'!$C:$C,A9)</f>
        <v>1</v>
      </c>
      <c r="E9" s="11" t="n">
        <f aca="false">COUNTIFS('Matriz de casos'!$C:$C,A9,'Matriz de casos'!$J:$J,"PASS")</f>
        <v>1</v>
      </c>
      <c r="F9" s="11" t="n">
        <f aca="false">COUNTIFS('Matriz de casos'!$C:$C,A9,'Matriz de casos'!$J:$J,"FAIL")</f>
        <v>0</v>
      </c>
    </row>
    <row r="10" customFormat="false" ht="23.25" hidden="false" customHeight="true" outlineLevel="0" collapsed="false">
      <c r="A10" s="10" t="s">
        <v>47</v>
      </c>
      <c r="B10" s="10" t="s">
        <v>48</v>
      </c>
      <c r="C10" s="10" t="s">
        <v>49</v>
      </c>
      <c r="D10" s="11" t="n">
        <f aca="false">COUNTIF('Matriz de casos'!$C:$C,A10)</f>
        <v>1</v>
      </c>
      <c r="E10" s="11" t="n">
        <f aca="false">COUNTIFS('Matriz de casos'!$C:$C,A10,'Matriz de casos'!$J:$J,"PASS")</f>
        <v>0</v>
      </c>
      <c r="F10" s="11" t="n">
        <f aca="false">COUNTIFS('Matriz de casos'!$C:$C,A10,'Matriz de casos'!$J:$J,"FAIL")</f>
        <v>1</v>
      </c>
    </row>
    <row r="11" customFormat="false" ht="34.5" hidden="false" customHeight="true" outlineLevel="0" collapsed="false">
      <c r="A11" s="10" t="s">
        <v>50</v>
      </c>
      <c r="B11" s="10" t="s">
        <v>51</v>
      </c>
      <c r="C11" s="10" t="s">
        <v>52</v>
      </c>
      <c r="D11" s="11" t="n">
        <f aca="false">COUNTIF('Matriz de casos'!$C:$C,A11)</f>
        <v>4</v>
      </c>
      <c r="E11" s="11" t="n">
        <f aca="false">COUNTIFS('Matriz de casos'!$C:$C,A11,'Matriz de casos'!$J:$J,"PASS")</f>
        <v>4</v>
      </c>
      <c r="F11" s="11" t="n">
        <f aca="false">COUNTIFS('Matriz de casos'!$C:$C,A11,'Matriz de casos'!$J:$J,"FAIL")</f>
        <v>0</v>
      </c>
    </row>
    <row r="12" customFormat="false" ht="23.25" hidden="false" customHeight="true" outlineLevel="0" collapsed="false">
      <c r="A12" s="10" t="s">
        <v>53</v>
      </c>
      <c r="B12" s="10" t="s">
        <v>54</v>
      </c>
      <c r="C12" s="10" t="s">
        <v>55</v>
      </c>
      <c r="D12" s="11" t="n">
        <f aca="false">COUNTIF('Matriz de casos'!$C:$C,A12)</f>
        <v>1</v>
      </c>
      <c r="E12" s="11" t="n">
        <f aca="false">COUNTIFS('Matriz de casos'!$C:$C,A12,'Matriz de casos'!$J:$J,"PASS")</f>
        <v>1</v>
      </c>
      <c r="F12" s="11" t="n">
        <f aca="false">COUNTIFS('Matriz de casos'!$C:$C,A12,'Matriz de casos'!$J:$J,"FAIL")</f>
        <v>0</v>
      </c>
    </row>
    <row r="13" customFormat="false" ht="23.25" hidden="false" customHeight="true" outlineLevel="0" collapsed="false">
      <c r="A13" s="10" t="s">
        <v>56</v>
      </c>
      <c r="B13" s="10" t="s">
        <v>57</v>
      </c>
      <c r="C13" s="10" t="s">
        <v>58</v>
      </c>
      <c r="D13" s="11" t="n">
        <f aca="false">COUNTIF('Matriz de casos'!$C:$C,A13)</f>
        <v>2</v>
      </c>
      <c r="E13" s="11" t="n">
        <f aca="false">COUNTIFS('Matriz de casos'!$C:$C,A13,'Matriz de casos'!$J:$J,"PASS")</f>
        <v>2</v>
      </c>
      <c r="F13" s="11" t="n">
        <f aca="false">COUNTIFS('Matriz de casos'!$C:$C,A13,'Matriz de casos'!$J:$J,"FAIL")</f>
        <v>0</v>
      </c>
    </row>
    <row r="14" customFormat="false" ht="23.25" hidden="false" customHeight="true" outlineLevel="0" collapsed="false">
      <c r="A14" s="10" t="s">
        <v>59</v>
      </c>
      <c r="B14" s="10" t="s">
        <v>60</v>
      </c>
      <c r="C14" s="10" t="s">
        <v>61</v>
      </c>
      <c r="D14" s="11" t="n">
        <f aca="false">COUNTIF('Matriz de casos'!$C:$C,A14)</f>
        <v>2</v>
      </c>
      <c r="E14" s="11" t="n">
        <f aca="false">COUNTIFS('Matriz de casos'!$C:$C,A14,'Matriz de casos'!$J:$J,"PASS")</f>
        <v>2</v>
      </c>
      <c r="F14" s="11" t="n">
        <f aca="false">COUNTIFS('Matriz de casos'!$C:$C,A14,'Matriz de casos'!$J:$J,"FAIL")</f>
        <v>0</v>
      </c>
    </row>
    <row r="15" customFormat="false" ht="23.25" hidden="false" customHeight="true" outlineLevel="0" collapsed="false">
      <c r="A15" s="10" t="s">
        <v>62</v>
      </c>
      <c r="B15" s="10" t="s">
        <v>63</v>
      </c>
      <c r="C15" s="10" t="s">
        <v>64</v>
      </c>
      <c r="D15" s="11" t="n">
        <f aca="false">COUNTIF('Matriz de casos'!$C:$C,A15)</f>
        <v>4</v>
      </c>
      <c r="E15" s="11" t="n">
        <f aca="false">COUNTIFS('Matriz de casos'!$C:$C,A15,'Matriz de casos'!$J:$J,"PASS")</f>
        <v>4</v>
      </c>
      <c r="F15" s="11" t="n">
        <f aca="false">COUNTIFS('Matriz de casos'!$C:$C,A15,'Matriz de casos'!$J:$J,"FAIL")</f>
        <v>0</v>
      </c>
    </row>
    <row r="16" customFormat="false" ht="23.25" hidden="false" customHeight="true" outlineLevel="0" collapsed="false">
      <c r="A16" s="10" t="s">
        <v>65</v>
      </c>
      <c r="B16" s="10" t="s">
        <v>66</v>
      </c>
      <c r="C16" s="10" t="s">
        <v>67</v>
      </c>
      <c r="D16" s="11" t="n">
        <f aca="false">COUNTIF('Matriz de casos'!$C:$C,A16)</f>
        <v>3</v>
      </c>
      <c r="E16" s="11" t="n">
        <f aca="false">COUNTIFS('Matriz de casos'!$C:$C,A16,'Matriz de casos'!$J:$J,"PASS")</f>
        <v>3</v>
      </c>
      <c r="F16" s="11" t="n">
        <f aca="false">COUNTIFS('Matriz de casos'!$C:$C,A16,'Matriz de casos'!$J:$J,"FAIL")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26"/>
    <col collapsed="false" customWidth="true" hidden="false" outlineLevel="0" max="6" min="5" style="1" width="30"/>
    <col collapsed="false" customWidth="true" hidden="false" outlineLevel="0" max="9" min="7" style="1" width="38"/>
    <col collapsed="false" customWidth="true" hidden="false" outlineLevel="0" max="10" min="10" style="1" width="9"/>
    <col collapsed="false" customWidth="true" hidden="false" outlineLevel="0" max="11" min="11" style="1" width="14"/>
    <col collapsed="false" customWidth="true" hidden="false" outlineLevel="0" max="12" min="12" style="1" width="44"/>
  </cols>
  <sheetData>
    <row r="1" customFormat="false" ht="15.75" hidden="false" customHeight="true" outlineLevel="0" collapsed="false">
      <c r="A1" s="2" t="s">
        <v>68</v>
      </c>
    </row>
    <row r="2" customFormat="false" ht="15" hidden="false" customHeight="true" outlineLevel="0" collapsed="false">
      <c r="A2" s="8" t="s">
        <v>69</v>
      </c>
    </row>
    <row r="4" customFormat="false" ht="15" hidden="false" customHeight="true" outlineLevel="0" collapsed="false">
      <c r="A4" s="9" t="s">
        <v>28</v>
      </c>
      <c r="B4" s="9" t="s">
        <v>70</v>
      </c>
      <c r="C4" s="9" t="s">
        <v>71</v>
      </c>
      <c r="D4" s="9" t="s">
        <v>72</v>
      </c>
      <c r="E4" s="9" t="s">
        <v>73</v>
      </c>
      <c r="F4" s="9" t="s">
        <v>74</v>
      </c>
      <c r="G4" s="9" t="s">
        <v>75</v>
      </c>
      <c r="H4" s="9" t="s">
        <v>76</v>
      </c>
      <c r="I4" s="9" t="s">
        <v>77</v>
      </c>
      <c r="J4" s="9" t="s">
        <v>78</v>
      </c>
      <c r="K4" s="9" t="s">
        <v>79</v>
      </c>
      <c r="L4" s="9" t="s">
        <v>80</v>
      </c>
    </row>
    <row r="5" customFormat="false" ht="23.25" hidden="false" customHeight="true" outlineLevel="0" collapsed="false">
      <c r="A5" s="10" t="s">
        <v>81</v>
      </c>
      <c r="B5" s="10" t="s">
        <v>82</v>
      </c>
      <c r="C5" s="10" t="s">
        <v>32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1" t="s">
        <v>4</v>
      </c>
      <c r="K5" s="10"/>
      <c r="L5" s="10" t="s">
        <v>89</v>
      </c>
    </row>
    <row r="6" customFormat="false" ht="23.25" hidden="false" customHeight="true" outlineLevel="0" collapsed="false">
      <c r="A6" s="10" t="s">
        <v>90</v>
      </c>
      <c r="B6" s="10" t="s">
        <v>82</v>
      </c>
      <c r="C6" s="10" t="s">
        <v>65</v>
      </c>
      <c r="D6" s="10" t="s">
        <v>91</v>
      </c>
      <c r="E6" s="10" t="s">
        <v>92</v>
      </c>
      <c r="F6" s="10" t="s">
        <v>93</v>
      </c>
      <c r="G6" s="10" t="s">
        <v>94</v>
      </c>
      <c r="H6" s="10" t="s">
        <v>95</v>
      </c>
      <c r="I6" s="10" t="s">
        <v>95</v>
      </c>
      <c r="J6" s="11" t="s">
        <v>4</v>
      </c>
      <c r="K6" s="10"/>
      <c r="L6" s="10" t="s">
        <v>96</v>
      </c>
    </row>
    <row r="7" customFormat="false" ht="34.5" hidden="false" customHeight="true" outlineLevel="0" collapsed="false">
      <c r="A7" s="10" t="s">
        <v>97</v>
      </c>
      <c r="B7" s="10" t="s">
        <v>82</v>
      </c>
      <c r="C7" s="10" t="s">
        <v>65</v>
      </c>
      <c r="D7" s="10" t="s">
        <v>98</v>
      </c>
      <c r="E7" s="10" t="s">
        <v>99</v>
      </c>
      <c r="F7" s="10" t="s">
        <v>100</v>
      </c>
      <c r="G7" s="10" t="s">
        <v>101</v>
      </c>
      <c r="H7" s="10" t="s">
        <v>102</v>
      </c>
      <c r="I7" s="10" t="s">
        <v>103</v>
      </c>
      <c r="J7" s="11" t="s">
        <v>4</v>
      </c>
      <c r="K7" s="10"/>
      <c r="L7" s="10" t="s">
        <v>104</v>
      </c>
    </row>
    <row r="8" customFormat="false" ht="23.25" hidden="false" customHeight="true" outlineLevel="0" collapsed="false">
      <c r="A8" s="10" t="s">
        <v>105</v>
      </c>
      <c r="B8" s="10" t="s">
        <v>106</v>
      </c>
      <c r="C8" s="10" t="s">
        <v>35</v>
      </c>
      <c r="D8" s="10" t="s">
        <v>107</v>
      </c>
      <c r="E8" s="10" t="s">
        <v>108</v>
      </c>
      <c r="F8" s="10" t="s">
        <v>109</v>
      </c>
      <c r="G8" s="10" t="s">
        <v>110</v>
      </c>
      <c r="H8" s="10" t="s">
        <v>111</v>
      </c>
      <c r="I8" s="10" t="s">
        <v>111</v>
      </c>
      <c r="J8" s="11" t="s">
        <v>4</v>
      </c>
      <c r="K8" s="10"/>
      <c r="L8" s="10" t="s">
        <v>112</v>
      </c>
    </row>
    <row r="9" customFormat="false" ht="23.25" hidden="false" customHeight="true" outlineLevel="0" collapsed="false">
      <c r="A9" s="10" t="s">
        <v>113</v>
      </c>
      <c r="B9" s="10" t="s">
        <v>106</v>
      </c>
      <c r="C9" s="10" t="s">
        <v>35</v>
      </c>
      <c r="D9" s="10" t="s">
        <v>114</v>
      </c>
      <c r="E9" s="10" t="s">
        <v>108</v>
      </c>
      <c r="F9" s="10" t="s">
        <v>109</v>
      </c>
      <c r="G9" s="10" t="s">
        <v>115</v>
      </c>
      <c r="H9" s="10" t="s">
        <v>116</v>
      </c>
      <c r="I9" s="10" t="s">
        <v>117</v>
      </c>
      <c r="J9" s="11" t="s">
        <v>4</v>
      </c>
      <c r="K9" s="10"/>
      <c r="L9" s="10" t="s">
        <v>118</v>
      </c>
    </row>
    <row r="10" customFormat="false" ht="23.25" hidden="false" customHeight="true" outlineLevel="0" collapsed="false">
      <c r="A10" s="10" t="s">
        <v>119</v>
      </c>
      <c r="B10" s="10" t="s">
        <v>106</v>
      </c>
      <c r="C10" s="10" t="s">
        <v>35</v>
      </c>
      <c r="D10" s="10" t="s">
        <v>120</v>
      </c>
      <c r="E10" s="10" t="s">
        <v>121</v>
      </c>
      <c r="F10" s="10" t="s">
        <v>122</v>
      </c>
      <c r="G10" s="10" t="s">
        <v>123</v>
      </c>
      <c r="H10" s="10" t="s">
        <v>124</v>
      </c>
      <c r="I10" s="10" t="s">
        <v>125</v>
      </c>
      <c r="J10" s="11" t="s">
        <v>4</v>
      </c>
      <c r="K10" s="10"/>
      <c r="L10" s="10" t="s">
        <v>126</v>
      </c>
    </row>
    <row r="11" customFormat="false" ht="23.25" hidden="false" customHeight="true" outlineLevel="0" collapsed="false">
      <c r="A11" s="10" t="s">
        <v>127</v>
      </c>
      <c r="B11" s="10" t="s">
        <v>106</v>
      </c>
      <c r="C11" s="10" t="s">
        <v>38</v>
      </c>
      <c r="D11" s="10" t="s">
        <v>128</v>
      </c>
      <c r="E11" s="10" t="s">
        <v>108</v>
      </c>
      <c r="F11" s="10" t="s">
        <v>129</v>
      </c>
      <c r="G11" s="10" t="s">
        <v>123</v>
      </c>
      <c r="H11" s="10" t="s">
        <v>130</v>
      </c>
      <c r="I11" s="10" t="s">
        <v>111</v>
      </c>
      <c r="J11" s="11" t="s">
        <v>5</v>
      </c>
      <c r="K11" s="12" t="s">
        <v>131</v>
      </c>
      <c r="L11" s="10" t="s">
        <v>132</v>
      </c>
    </row>
    <row r="12" customFormat="false" ht="23.25" hidden="false" customHeight="true" outlineLevel="0" collapsed="false">
      <c r="A12" s="10" t="s">
        <v>133</v>
      </c>
      <c r="B12" s="10" t="s">
        <v>134</v>
      </c>
      <c r="C12" s="10" t="s">
        <v>41</v>
      </c>
      <c r="D12" s="10" t="s">
        <v>135</v>
      </c>
      <c r="E12" s="10" t="s">
        <v>108</v>
      </c>
      <c r="F12" s="10" t="s">
        <v>136</v>
      </c>
      <c r="G12" s="10" t="s">
        <v>137</v>
      </c>
      <c r="H12" s="10" t="s">
        <v>138</v>
      </c>
      <c r="I12" s="10" t="s">
        <v>139</v>
      </c>
      <c r="J12" s="11" t="s">
        <v>4</v>
      </c>
      <c r="K12" s="10"/>
      <c r="L12" s="10" t="s">
        <v>140</v>
      </c>
    </row>
    <row r="13" customFormat="false" ht="23.25" hidden="false" customHeight="true" outlineLevel="0" collapsed="false">
      <c r="A13" s="10" t="s">
        <v>141</v>
      </c>
      <c r="B13" s="10" t="s">
        <v>134</v>
      </c>
      <c r="C13" s="10" t="s">
        <v>41</v>
      </c>
      <c r="D13" s="10" t="s">
        <v>142</v>
      </c>
      <c r="E13" s="10" t="s">
        <v>108</v>
      </c>
      <c r="F13" s="10" t="s">
        <v>136</v>
      </c>
      <c r="G13" s="10" t="s">
        <v>143</v>
      </c>
      <c r="H13" s="10" t="s">
        <v>117</v>
      </c>
      <c r="I13" s="10" t="s">
        <v>117</v>
      </c>
      <c r="J13" s="11" t="s">
        <v>4</v>
      </c>
      <c r="K13" s="10"/>
      <c r="L13" s="10" t="s">
        <v>144</v>
      </c>
    </row>
    <row r="14" customFormat="false" ht="23.25" hidden="false" customHeight="true" outlineLevel="0" collapsed="false">
      <c r="A14" s="10" t="s">
        <v>145</v>
      </c>
      <c r="B14" s="10" t="s">
        <v>134</v>
      </c>
      <c r="C14" s="10" t="s">
        <v>41</v>
      </c>
      <c r="D14" s="10" t="s">
        <v>146</v>
      </c>
      <c r="E14" s="10" t="s">
        <v>108</v>
      </c>
      <c r="F14" s="10" t="s">
        <v>136</v>
      </c>
      <c r="G14" s="10" t="s">
        <v>147</v>
      </c>
      <c r="H14" s="10" t="s">
        <v>117</v>
      </c>
      <c r="I14" s="10" t="s">
        <v>117</v>
      </c>
      <c r="J14" s="11" t="s">
        <v>4</v>
      </c>
      <c r="K14" s="10"/>
      <c r="L14" s="10" t="s">
        <v>148</v>
      </c>
    </row>
    <row r="15" customFormat="false" ht="23.25" hidden="false" customHeight="true" outlineLevel="0" collapsed="false">
      <c r="A15" s="10" t="s">
        <v>149</v>
      </c>
      <c r="B15" s="10" t="s">
        <v>134</v>
      </c>
      <c r="C15" s="10" t="s">
        <v>41</v>
      </c>
      <c r="D15" s="10" t="s">
        <v>150</v>
      </c>
      <c r="E15" s="10" t="s">
        <v>108</v>
      </c>
      <c r="F15" s="10" t="s">
        <v>136</v>
      </c>
      <c r="G15" s="10" t="s">
        <v>151</v>
      </c>
      <c r="H15" s="10" t="s">
        <v>117</v>
      </c>
      <c r="I15" s="10" t="s">
        <v>117</v>
      </c>
      <c r="J15" s="11" t="s">
        <v>4</v>
      </c>
      <c r="K15" s="10"/>
      <c r="L15" s="10" t="s">
        <v>152</v>
      </c>
    </row>
    <row r="16" customFormat="false" ht="23.25" hidden="false" customHeight="true" outlineLevel="0" collapsed="false">
      <c r="A16" s="10" t="s">
        <v>153</v>
      </c>
      <c r="B16" s="10" t="s">
        <v>134</v>
      </c>
      <c r="C16" s="10" t="s">
        <v>41</v>
      </c>
      <c r="D16" s="10" t="s">
        <v>128</v>
      </c>
      <c r="E16" s="10" t="s">
        <v>154</v>
      </c>
      <c r="F16" s="10" t="s">
        <v>155</v>
      </c>
      <c r="G16" s="10" t="s">
        <v>156</v>
      </c>
      <c r="H16" s="10" t="s">
        <v>157</v>
      </c>
      <c r="I16" s="10" t="s">
        <v>158</v>
      </c>
      <c r="J16" s="11" t="s">
        <v>4</v>
      </c>
      <c r="K16" s="10"/>
      <c r="L16" s="10" t="s">
        <v>159</v>
      </c>
    </row>
    <row r="17" customFormat="false" ht="23.25" hidden="false" customHeight="true" outlineLevel="0" collapsed="false">
      <c r="A17" s="10" t="s">
        <v>160</v>
      </c>
      <c r="B17" s="10" t="s">
        <v>134</v>
      </c>
      <c r="C17" s="10" t="s">
        <v>44</v>
      </c>
      <c r="D17" s="10" t="s">
        <v>161</v>
      </c>
      <c r="E17" s="10" t="s">
        <v>108</v>
      </c>
      <c r="F17" s="10" t="s">
        <v>136</v>
      </c>
      <c r="G17" s="10" t="s">
        <v>162</v>
      </c>
      <c r="H17" s="10" t="s">
        <v>163</v>
      </c>
      <c r="I17" s="10" t="s">
        <v>163</v>
      </c>
      <c r="J17" s="11" t="s">
        <v>4</v>
      </c>
      <c r="K17" s="10"/>
      <c r="L17" s="10" t="s">
        <v>164</v>
      </c>
    </row>
    <row r="18" customFormat="false" ht="23.25" hidden="false" customHeight="true" outlineLevel="0" collapsed="false">
      <c r="A18" s="10" t="s">
        <v>165</v>
      </c>
      <c r="B18" s="10" t="s">
        <v>134</v>
      </c>
      <c r="C18" s="10" t="s">
        <v>47</v>
      </c>
      <c r="D18" s="10" t="s">
        <v>166</v>
      </c>
      <c r="E18" s="10" t="s">
        <v>108</v>
      </c>
      <c r="F18" s="10" t="s">
        <v>136</v>
      </c>
      <c r="G18" s="10" t="s">
        <v>167</v>
      </c>
      <c r="H18" s="10" t="s">
        <v>168</v>
      </c>
      <c r="I18" s="10" t="s">
        <v>169</v>
      </c>
      <c r="J18" s="11" t="s">
        <v>5</v>
      </c>
      <c r="K18" s="12" t="s">
        <v>170</v>
      </c>
      <c r="L18" s="10" t="s">
        <v>171</v>
      </c>
    </row>
    <row r="19" customFormat="false" ht="23.25" hidden="false" customHeight="true" outlineLevel="0" collapsed="false">
      <c r="A19" s="10" t="s">
        <v>172</v>
      </c>
      <c r="B19" s="10" t="s">
        <v>173</v>
      </c>
      <c r="C19" s="10" t="s">
        <v>50</v>
      </c>
      <c r="D19" s="10" t="s">
        <v>174</v>
      </c>
      <c r="E19" s="10" t="s">
        <v>108</v>
      </c>
      <c r="F19" s="10" t="s">
        <v>175</v>
      </c>
      <c r="G19" s="10" t="s">
        <v>176</v>
      </c>
      <c r="H19" s="10" t="s">
        <v>177</v>
      </c>
      <c r="I19" s="10" t="s">
        <v>178</v>
      </c>
      <c r="J19" s="11" t="s">
        <v>4</v>
      </c>
      <c r="K19" s="10"/>
      <c r="L19" s="10" t="s">
        <v>179</v>
      </c>
    </row>
    <row r="20" customFormat="false" ht="23.25" hidden="false" customHeight="true" outlineLevel="0" collapsed="false">
      <c r="A20" s="10" t="s">
        <v>180</v>
      </c>
      <c r="B20" s="10" t="s">
        <v>173</v>
      </c>
      <c r="C20" s="10" t="s">
        <v>50</v>
      </c>
      <c r="D20" s="10" t="s">
        <v>181</v>
      </c>
      <c r="E20" s="10" t="s">
        <v>108</v>
      </c>
      <c r="F20" s="10" t="s">
        <v>175</v>
      </c>
      <c r="G20" s="10" t="s">
        <v>182</v>
      </c>
      <c r="H20" s="10" t="s">
        <v>177</v>
      </c>
      <c r="I20" s="10" t="s">
        <v>178</v>
      </c>
      <c r="J20" s="11" t="s">
        <v>4</v>
      </c>
      <c r="K20" s="10"/>
      <c r="L20" s="10" t="s">
        <v>183</v>
      </c>
    </row>
    <row r="21" customFormat="false" ht="23.25" hidden="false" customHeight="true" outlineLevel="0" collapsed="false">
      <c r="A21" s="10" t="s">
        <v>184</v>
      </c>
      <c r="B21" s="10" t="s">
        <v>173</v>
      </c>
      <c r="C21" s="10" t="s">
        <v>50</v>
      </c>
      <c r="D21" s="10" t="s">
        <v>185</v>
      </c>
      <c r="E21" s="10" t="s">
        <v>108</v>
      </c>
      <c r="F21" s="10" t="s">
        <v>175</v>
      </c>
      <c r="G21" s="10" t="s">
        <v>186</v>
      </c>
      <c r="H21" s="10" t="s">
        <v>177</v>
      </c>
      <c r="I21" s="10" t="s">
        <v>178</v>
      </c>
      <c r="J21" s="11" t="s">
        <v>4</v>
      </c>
      <c r="K21" s="10"/>
      <c r="L21" s="10" t="s">
        <v>187</v>
      </c>
    </row>
    <row r="22" customFormat="false" ht="34.5" hidden="false" customHeight="true" outlineLevel="0" collapsed="false">
      <c r="A22" s="10" t="s">
        <v>188</v>
      </c>
      <c r="B22" s="10" t="s">
        <v>173</v>
      </c>
      <c r="C22" s="10" t="s">
        <v>53</v>
      </c>
      <c r="D22" s="10" t="s">
        <v>189</v>
      </c>
      <c r="E22" s="10" t="s">
        <v>108</v>
      </c>
      <c r="F22" s="10" t="s">
        <v>175</v>
      </c>
      <c r="G22" s="10" t="s">
        <v>190</v>
      </c>
      <c r="H22" s="10" t="s">
        <v>191</v>
      </c>
      <c r="I22" s="10" t="s">
        <v>192</v>
      </c>
      <c r="J22" s="11" t="s">
        <v>4</v>
      </c>
      <c r="K22" s="10"/>
      <c r="L22" s="10" t="s">
        <v>193</v>
      </c>
    </row>
    <row r="23" customFormat="false" ht="23.25" hidden="false" customHeight="true" outlineLevel="0" collapsed="false">
      <c r="A23" s="10" t="s">
        <v>194</v>
      </c>
      <c r="B23" s="10" t="s">
        <v>173</v>
      </c>
      <c r="C23" s="10" t="s">
        <v>50</v>
      </c>
      <c r="D23" s="10" t="s">
        <v>195</v>
      </c>
      <c r="E23" s="10" t="s">
        <v>108</v>
      </c>
      <c r="F23" s="10" t="s">
        <v>175</v>
      </c>
      <c r="G23" s="10" t="s">
        <v>196</v>
      </c>
      <c r="H23" s="10" t="s">
        <v>117</v>
      </c>
      <c r="I23" s="10" t="s">
        <v>117</v>
      </c>
      <c r="J23" s="11" t="s">
        <v>4</v>
      </c>
      <c r="K23" s="10"/>
      <c r="L23" s="10" t="s">
        <v>197</v>
      </c>
    </row>
    <row r="24" customFormat="false" ht="23.25" hidden="false" customHeight="true" outlineLevel="0" collapsed="false">
      <c r="A24" s="10" t="s">
        <v>198</v>
      </c>
      <c r="B24" s="10" t="s">
        <v>199</v>
      </c>
      <c r="C24" s="10" t="s">
        <v>56</v>
      </c>
      <c r="D24" s="10" t="s">
        <v>200</v>
      </c>
      <c r="E24" s="10" t="s">
        <v>108</v>
      </c>
      <c r="F24" s="10" t="s">
        <v>201</v>
      </c>
      <c r="G24" s="10" t="s">
        <v>202</v>
      </c>
      <c r="H24" s="10" t="s">
        <v>203</v>
      </c>
      <c r="I24" s="10" t="s">
        <v>204</v>
      </c>
      <c r="J24" s="11" t="s">
        <v>4</v>
      </c>
      <c r="K24" s="10"/>
      <c r="L24" s="10" t="s">
        <v>205</v>
      </c>
    </row>
    <row r="25" customFormat="false" ht="23.25" hidden="false" customHeight="true" outlineLevel="0" collapsed="false">
      <c r="A25" s="10" t="s">
        <v>206</v>
      </c>
      <c r="B25" s="10" t="s">
        <v>199</v>
      </c>
      <c r="C25" s="10" t="s">
        <v>56</v>
      </c>
      <c r="D25" s="10" t="s">
        <v>207</v>
      </c>
      <c r="E25" s="10" t="s">
        <v>108</v>
      </c>
      <c r="F25" s="10" t="s">
        <v>201</v>
      </c>
      <c r="G25" s="10" t="s">
        <v>208</v>
      </c>
      <c r="H25" s="10" t="s">
        <v>117</v>
      </c>
      <c r="I25" s="10" t="s">
        <v>117</v>
      </c>
      <c r="J25" s="11" t="s">
        <v>4</v>
      </c>
      <c r="K25" s="10"/>
      <c r="L25" s="10" t="s">
        <v>209</v>
      </c>
    </row>
    <row r="26" customFormat="false" ht="23.25" hidden="false" customHeight="true" outlineLevel="0" collapsed="false">
      <c r="A26" s="10" t="s">
        <v>210</v>
      </c>
      <c r="B26" s="10" t="s">
        <v>211</v>
      </c>
      <c r="C26" s="10" t="s">
        <v>59</v>
      </c>
      <c r="D26" s="10" t="s">
        <v>212</v>
      </c>
      <c r="E26" s="10" t="s">
        <v>108</v>
      </c>
      <c r="F26" s="10" t="s">
        <v>175</v>
      </c>
      <c r="G26" s="10" t="s">
        <v>213</v>
      </c>
      <c r="H26" s="10" t="s">
        <v>214</v>
      </c>
      <c r="I26" s="10" t="s">
        <v>178</v>
      </c>
      <c r="J26" s="11" t="s">
        <v>4</v>
      </c>
      <c r="K26" s="10"/>
      <c r="L26" s="10" t="s">
        <v>215</v>
      </c>
    </row>
    <row r="27" customFormat="false" ht="23.25" hidden="false" customHeight="true" outlineLevel="0" collapsed="false">
      <c r="A27" s="10" t="s">
        <v>216</v>
      </c>
      <c r="B27" s="10" t="s">
        <v>211</v>
      </c>
      <c r="C27" s="10" t="s">
        <v>59</v>
      </c>
      <c r="D27" s="10" t="s">
        <v>217</v>
      </c>
      <c r="E27" s="10" t="s">
        <v>108</v>
      </c>
      <c r="F27" s="10" t="s">
        <v>175</v>
      </c>
      <c r="G27" s="10" t="s">
        <v>218</v>
      </c>
      <c r="H27" s="10" t="s">
        <v>219</v>
      </c>
      <c r="I27" s="10" t="s">
        <v>219</v>
      </c>
      <c r="J27" s="11" t="s">
        <v>4</v>
      </c>
      <c r="K27" s="10"/>
      <c r="L27" s="10" t="s">
        <v>220</v>
      </c>
    </row>
    <row r="28" customFormat="false" ht="23.25" hidden="false" customHeight="true" outlineLevel="0" collapsed="false">
      <c r="A28" s="10" t="s">
        <v>221</v>
      </c>
      <c r="B28" s="10" t="s">
        <v>222</v>
      </c>
      <c r="C28" s="10" t="s">
        <v>62</v>
      </c>
      <c r="D28" s="10" t="s">
        <v>223</v>
      </c>
      <c r="E28" s="10" t="s">
        <v>108</v>
      </c>
      <c r="F28" s="10" t="s">
        <v>224</v>
      </c>
      <c r="G28" s="10" t="s">
        <v>225</v>
      </c>
      <c r="H28" s="10" t="s">
        <v>226</v>
      </c>
      <c r="I28" s="10" t="s">
        <v>117</v>
      </c>
      <c r="J28" s="11" t="s">
        <v>4</v>
      </c>
      <c r="K28" s="10"/>
      <c r="L28" s="10" t="s">
        <v>227</v>
      </c>
    </row>
    <row r="29" customFormat="false" ht="15" hidden="false" customHeight="true" outlineLevel="0" collapsed="false">
      <c r="A29" s="10" t="s">
        <v>228</v>
      </c>
      <c r="B29" s="10" t="s">
        <v>222</v>
      </c>
      <c r="C29" s="10" t="s">
        <v>62</v>
      </c>
      <c r="D29" s="10" t="s">
        <v>229</v>
      </c>
      <c r="E29" s="10" t="s">
        <v>108</v>
      </c>
      <c r="F29" s="10" t="s">
        <v>224</v>
      </c>
      <c r="G29" s="10" t="s">
        <v>230</v>
      </c>
      <c r="H29" s="10" t="s">
        <v>117</v>
      </c>
      <c r="I29" s="10" t="s">
        <v>117</v>
      </c>
      <c r="J29" s="11" t="s">
        <v>4</v>
      </c>
      <c r="K29" s="10"/>
      <c r="L29" s="10" t="s">
        <v>231</v>
      </c>
    </row>
    <row r="30" customFormat="false" ht="15" hidden="false" customHeight="true" outlineLevel="0" collapsed="false">
      <c r="A30" s="10" t="s">
        <v>232</v>
      </c>
      <c r="B30" s="10" t="s">
        <v>222</v>
      </c>
      <c r="C30" s="10" t="s">
        <v>62</v>
      </c>
      <c r="D30" s="10" t="s">
        <v>233</v>
      </c>
      <c r="E30" s="10" t="s">
        <v>108</v>
      </c>
      <c r="F30" s="10" t="s">
        <v>224</v>
      </c>
      <c r="G30" s="10" t="s">
        <v>234</v>
      </c>
      <c r="H30" s="10" t="s">
        <v>117</v>
      </c>
      <c r="I30" s="10" t="s">
        <v>117</v>
      </c>
      <c r="J30" s="11" t="s">
        <v>4</v>
      </c>
      <c r="K30" s="10"/>
      <c r="L30" s="10" t="s">
        <v>235</v>
      </c>
    </row>
    <row r="31" customFormat="false" ht="23.25" hidden="false" customHeight="true" outlineLevel="0" collapsed="false">
      <c r="A31" s="10" t="s">
        <v>236</v>
      </c>
      <c r="B31" s="10" t="s">
        <v>222</v>
      </c>
      <c r="C31" s="10" t="s">
        <v>62</v>
      </c>
      <c r="D31" s="10" t="s">
        <v>237</v>
      </c>
      <c r="E31" s="10" t="s">
        <v>108</v>
      </c>
      <c r="F31" s="10" t="s">
        <v>224</v>
      </c>
      <c r="G31" s="10" t="s">
        <v>238</v>
      </c>
      <c r="H31" s="10" t="s">
        <v>239</v>
      </c>
      <c r="I31" s="10" t="s">
        <v>240</v>
      </c>
      <c r="J31" s="11" t="s">
        <v>4</v>
      </c>
      <c r="K31" s="10"/>
      <c r="L31" s="10" t="s">
        <v>241</v>
      </c>
    </row>
    <row r="32" customFormat="false" ht="34.5" hidden="false" customHeight="true" outlineLevel="0" collapsed="false">
      <c r="A32" s="10" t="s">
        <v>242</v>
      </c>
      <c r="B32" s="10" t="s">
        <v>243</v>
      </c>
      <c r="C32" s="10" t="s">
        <v>65</v>
      </c>
      <c r="D32" s="10" t="s">
        <v>244</v>
      </c>
      <c r="E32" s="10" t="s">
        <v>108</v>
      </c>
      <c r="F32" s="10" t="s">
        <v>245</v>
      </c>
      <c r="G32" s="10" t="s">
        <v>246</v>
      </c>
      <c r="H32" s="10" t="s">
        <v>247</v>
      </c>
      <c r="I32" s="10" t="s">
        <v>248</v>
      </c>
      <c r="J32" s="11" t="s">
        <v>4</v>
      </c>
      <c r="K32" s="10"/>
      <c r="L32" s="10" t="s">
        <v>249</v>
      </c>
    </row>
  </sheetData>
  <autoFilter ref="A4:L32"/>
  <conditionalFormatting sqref="J5:J32">
    <cfRule type="cellIs" priority="2" operator="equal" aboveAverage="0" equalAverage="0" bottom="0" percent="0" rank="0" text="" dxfId="8">
      <formula>"PASS"</formula>
    </cfRule>
    <cfRule type="cellIs" priority="3" operator="equal" aboveAverage="0" equalAverage="0" bottom="0" percent="0" rank="0" text="" dxfId="9">
      <formula>"FAIL"</formula>
    </cfRule>
  </conditionalFormatting>
  <dataValidations count="1">
    <dataValidation allowBlank="true" errorStyle="stop" operator="between" showDropDown="false" showErrorMessage="false" showInputMessage="false" sqref="J5:J32" type="list">
      <formula1>"PASS,FAIL,NÃO EXECUTADO"</formula1>
      <formula2>0</formula2>
    </dataValidation>
  </dataValidations>
  <hyperlinks>
    <hyperlink ref="K11" r:id="rId1" display="#25232"/>
    <hyperlink ref="K18" r:id="rId2" display="#2523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2026-10-12T19:02:14Z</dcterms:created>
  <dc:creator>openpyxl</dc:creator>
  <dc:description/>
  <dc:language>en-US</dc:language>
  <cp:lastModifiedBy/>
  <dcterms:modified xsi:type="dcterms:W3CDTF">2026-10-12T19:52:49Z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